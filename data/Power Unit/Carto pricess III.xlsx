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>
    <definedName name="RBOB">Feuil1!$D$1</definedName>
    <definedName name="RBOBT">Feuil1!$D$2</definedName>
    <definedName name="Kt">Feuil1!$D$4</definedName>
    <definedName name="TBOB">Feuil1!$D$3</definedName>
  </definedNames>
  <calcPr/>
  <extLst>
    <ext uri="GoogleSheetsCustomDataVersion2">
      <go:sheetsCustomData xmlns:go="http://customooxmlschemas.google.com/" r:id="rId5" roundtripDataChecksum="KCKcjtulFq1PWn11vqCsdpp63BeTXBaX6UQVKDJTCa4="/>
    </ext>
  </extLst>
</workbook>
</file>

<file path=xl/sharedStrings.xml><?xml version="1.0" encoding="utf-8"?>
<sst xmlns="http://schemas.openxmlformats.org/spreadsheetml/2006/main" count="33" uniqueCount="19">
  <si>
    <t>Rbob 20°C</t>
  </si>
  <si>
    <t>Ohm</t>
  </si>
  <si>
    <t>Rbob T</t>
  </si>
  <si>
    <t>Tbob</t>
  </si>
  <si>
    <t>°C</t>
  </si>
  <si>
    <t>Kt</t>
  </si>
  <si>
    <t>N.m/A</t>
  </si>
  <si>
    <t>Puissance (W)</t>
  </si>
  <si>
    <t>Omega (RPM)</t>
  </si>
  <si>
    <t>pertes fer (W)</t>
  </si>
  <si>
    <t>C (N.m)</t>
  </si>
  <si>
    <t>courant par phase (Arms)</t>
  </si>
  <si>
    <t>RPM</t>
  </si>
  <si>
    <t>pertes joules (W) bobines à 20°C</t>
  </si>
  <si>
    <t>pertes joules (W)</t>
  </si>
  <si>
    <t>couple (N.m)</t>
  </si>
  <si>
    <t>pertes aimants</t>
  </si>
  <si>
    <t>rendement</t>
  </si>
  <si>
    <t>courant phase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</si>
</sst>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"/>
  </numFmts>
  <fonts count="8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/>
    <font>
      <sz val="11.0"/>
      <color rgb="FF000000"/>
      <name val="&quot;Aptos Narrow&quot;"/>
    </font>
    <font>
      <sz val="12.0"/>
      <color rgb="FF000000"/>
      <name val="Arial"/>
    </font>
    <font>
      <b/>
      <sz val="11.0"/>
      <color theme="1"/>
      <name val="Aptos Narrow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6">
    <border/>
    <border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2" numFmtId="164" xfId="0" applyFont="1" applyNumberFormat="1"/>
    <xf borderId="1" fillId="0" fontId="2" numFmtId="0" xfId="0" applyAlignment="1" applyBorder="1" applyFont="1">
      <alignment horizontal="center"/>
    </xf>
    <xf borderId="1" fillId="0" fontId="3" numFmtId="0" xfId="0" applyBorder="1" applyFont="1"/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2" fontId="4" numFmtId="0" xfId="0" applyAlignment="1" applyBorder="1" applyFill="1" applyFont="1">
      <alignment horizontal="center" readingOrder="0" shrinkToFit="0" vertical="bottom" wrapText="0"/>
    </xf>
    <xf borderId="7" fillId="0" fontId="3" numFmtId="0" xfId="0" applyBorder="1" applyFont="1"/>
    <xf borderId="8" fillId="0" fontId="3" numFmtId="0" xfId="0" applyBorder="1" applyFont="1"/>
    <xf borderId="9" fillId="0" fontId="2" numFmtId="0" xfId="0" applyAlignment="1" applyBorder="1" applyFont="1">
      <alignment horizontal="center"/>
    </xf>
    <xf borderId="10" fillId="0" fontId="2" numFmtId="0" xfId="0" applyBorder="1" applyFont="1"/>
    <xf borderId="11" fillId="0" fontId="2" numFmtId="165" xfId="0" applyBorder="1" applyFont="1" applyNumberFormat="1"/>
    <xf borderId="12" fillId="0" fontId="2" numFmtId="165" xfId="0" applyBorder="1" applyFont="1" applyNumberFormat="1"/>
    <xf borderId="12" fillId="2" fontId="4" numFmtId="0" xfId="0" applyAlignment="1" applyBorder="1" applyFont="1">
      <alignment horizontal="left" shrinkToFit="0" vertical="bottom" wrapText="0"/>
    </xf>
    <xf borderId="11" fillId="2" fontId="4" numFmtId="0" xfId="0" applyAlignment="1" applyBorder="1" applyFont="1">
      <alignment readingOrder="0" vertical="bottom"/>
    </xf>
    <xf borderId="11" fillId="2" fontId="4" numFmtId="0" xfId="0" applyAlignment="1" applyBorder="1" applyFont="1">
      <alignment horizontal="right" readingOrder="0" shrinkToFit="0" vertical="bottom" wrapText="0"/>
    </xf>
    <xf borderId="9" fillId="0" fontId="3" numFmtId="0" xfId="0" applyBorder="1" applyFont="1"/>
    <xf borderId="13" fillId="0" fontId="2" numFmtId="0" xfId="0" applyBorder="1" applyFont="1"/>
    <xf borderId="8" fillId="0" fontId="2" numFmtId="165" xfId="0" applyBorder="1" applyFont="1" applyNumberFormat="1"/>
    <xf borderId="14" fillId="0" fontId="2" numFmtId="165" xfId="0" applyBorder="1" applyFont="1" applyNumberFormat="1"/>
    <xf borderId="12" fillId="2" fontId="4" numFmtId="0" xfId="0" applyAlignment="1" applyBorder="1" applyFont="1">
      <alignment horizontal="left" readingOrder="0" shrinkToFit="0" vertical="bottom" wrapText="0"/>
    </xf>
    <xf borderId="11" fillId="3" fontId="4" numFmtId="0" xfId="0" applyAlignment="1" applyBorder="1" applyFill="1" applyFont="1">
      <alignment vertical="bottom"/>
    </xf>
    <xf borderId="11" fillId="3" fontId="4" numFmtId="0" xfId="0" applyAlignment="1" applyBorder="1" applyFont="1">
      <alignment shrinkToFit="0" vertical="bottom" wrapText="0"/>
    </xf>
    <xf borderId="15" fillId="0" fontId="2" numFmtId="0" xfId="0" applyBorder="1" applyFont="1"/>
    <xf borderId="0" fillId="2" fontId="5" numFmtId="0" xfId="0" applyAlignment="1" applyFont="1">
      <alignment horizontal="left"/>
    </xf>
    <xf borderId="0" fillId="2" fontId="4" numFmtId="0" xfId="0" applyAlignment="1" applyFont="1">
      <alignment horizontal="left" shrinkToFit="0" vertical="bottom" wrapText="0"/>
    </xf>
    <xf borderId="14" fillId="2" fontId="4" numFmtId="0" xfId="0" applyAlignment="1" applyBorder="1" applyFont="1">
      <alignment readingOrder="0" vertical="bottom"/>
    </xf>
    <xf borderId="8" fillId="2" fontId="4" numFmtId="0" xfId="0" applyAlignment="1" applyBorder="1" applyFont="1">
      <alignment horizontal="right" readingOrder="0" shrinkToFit="0" vertical="bottom" wrapText="0"/>
    </xf>
    <xf borderId="12" fillId="3" fontId="4" numFmtId="0" xfId="0" applyAlignment="1" applyBorder="1" applyFont="1">
      <alignment vertical="bottom"/>
    </xf>
    <xf borderId="11" fillId="0" fontId="2" numFmtId="2" xfId="0" applyBorder="1" applyFont="1" applyNumberFormat="1"/>
    <xf borderId="11" fillId="0" fontId="2" numFmtId="10" xfId="0" applyBorder="1" applyFont="1" applyNumberFormat="1"/>
    <xf borderId="11" fillId="0" fontId="6" numFmtId="10" xfId="0" applyBorder="1" applyFont="1" applyNumberFormat="1"/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9.0"/>
    <col customWidth="1" min="3" max="14" width="10.63"/>
    <col customWidth="1" min="15" max="15" width="6.63"/>
    <col customWidth="1" min="16" max="16" width="21.75"/>
    <col customWidth="1" min="17" max="26" width="10.63"/>
  </cols>
  <sheetData>
    <row r="1" ht="14.25" customHeight="1">
      <c r="C1" s="1" t="s">
        <v>0</v>
      </c>
      <c r="D1" s="1">
        <v>0.051</v>
      </c>
      <c r="E1" s="1" t="s">
        <v>1</v>
      </c>
      <c r="O1" s="2"/>
    </row>
    <row r="2" ht="14.25" customHeight="1">
      <c r="C2" s="1" t="s">
        <v>2</v>
      </c>
      <c r="D2" s="3">
        <f>RBOB*(1+0.004*TBOB)</f>
        <v>0.0612</v>
      </c>
      <c r="E2" s="1" t="s">
        <v>1</v>
      </c>
      <c r="O2" s="2"/>
    </row>
    <row r="3" ht="14.25" customHeight="1">
      <c r="C3" s="1" t="s">
        <v>3</v>
      </c>
      <c r="D3" s="1">
        <v>50.0</v>
      </c>
      <c r="E3" s="1" t="s">
        <v>4</v>
      </c>
      <c r="O3" s="2"/>
    </row>
    <row r="4" ht="14.25" customHeight="1">
      <c r="C4" s="1" t="s">
        <v>5</v>
      </c>
      <c r="D4" s="1">
        <v>0.915</v>
      </c>
      <c r="E4" s="1" t="s">
        <v>6</v>
      </c>
      <c r="O4" s="2"/>
    </row>
    <row r="5" ht="14.25" customHeight="1">
      <c r="O5" s="2"/>
    </row>
    <row r="6" ht="14.25" customHeight="1">
      <c r="B6" s="1" t="s">
        <v>7</v>
      </c>
      <c r="C6" s="4" t="s">
        <v>8</v>
      </c>
      <c r="D6" s="5"/>
      <c r="E6" s="5"/>
      <c r="F6" s="5"/>
      <c r="G6" s="5"/>
      <c r="H6" s="5"/>
      <c r="I6" s="5"/>
      <c r="J6" s="5"/>
      <c r="K6" s="5"/>
      <c r="L6" s="5"/>
      <c r="O6" s="2"/>
    </row>
    <row r="7" ht="14.25" customHeight="1">
      <c r="B7" s="6"/>
      <c r="C7" s="7">
        <v>50.0</v>
      </c>
      <c r="D7" s="8">
        <v>100.0</v>
      </c>
      <c r="E7" s="8">
        <v>150.0</v>
      </c>
      <c r="F7" s="8">
        <v>200.0</v>
      </c>
      <c r="G7" s="8">
        <v>250.0</v>
      </c>
      <c r="H7" s="8">
        <v>300.0</v>
      </c>
      <c r="I7" s="8">
        <v>350.0</v>
      </c>
      <c r="J7" s="8">
        <v>400.0</v>
      </c>
      <c r="K7" s="8">
        <v>450.0</v>
      </c>
      <c r="L7" s="9">
        <v>500.0</v>
      </c>
      <c r="O7" s="10" t="s">
        <v>9</v>
      </c>
      <c r="P7" s="11"/>
      <c r="Q7" s="11"/>
      <c r="R7" s="11"/>
      <c r="S7" s="11"/>
      <c r="T7" s="11"/>
      <c r="U7" s="11"/>
      <c r="V7" s="12"/>
    </row>
    <row r="8" ht="14.25" customHeight="1">
      <c r="A8" s="13" t="s">
        <v>10</v>
      </c>
      <c r="B8" s="14">
        <v>1.0</v>
      </c>
      <c r="C8" s="15">
        <f t="shared" ref="C8:L8" si="1">C$7*PI()/30*$B8</f>
        <v>5.235987756</v>
      </c>
      <c r="D8" s="16">
        <f t="shared" si="1"/>
        <v>10.47197551</v>
      </c>
      <c r="E8" s="16">
        <f t="shared" si="1"/>
        <v>15.70796327</v>
      </c>
      <c r="F8" s="16">
        <f t="shared" si="1"/>
        <v>20.94395102</v>
      </c>
      <c r="G8" s="16">
        <f t="shared" si="1"/>
        <v>26.17993878</v>
      </c>
      <c r="H8" s="16">
        <f t="shared" si="1"/>
        <v>31.41592654</v>
      </c>
      <c r="I8" s="16">
        <f t="shared" si="1"/>
        <v>36.65191429</v>
      </c>
      <c r="J8" s="16">
        <f t="shared" si="1"/>
        <v>41.88790205</v>
      </c>
      <c r="K8" s="16">
        <f t="shared" si="1"/>
        <v>47.1238898</v>
      </c>
      <c r="L8" s="16">
        <f t="shared" si="1"/>
        <v>52.35987756</v>
      </c>
      <c r="O8" s="17"/>
      <c r="P8" s="18" t="s">
        <v>11</v>
      </c>
      <c r="Q8" s="19">
        <v>0.0</v>
      </c>
      <c r="R8" s="19">
        <v>2.0</v>
      </c>
      <c r="S8" s="19">
        <v>4.0</v>
      </c>
      <c r="T8" s="19">
        <v>6.0</v>
      </c>
      <c r="U8" s="19">
        <v>8.0</v>
      </c>
      <c r="V8" s="19">
        <v>10.0</v>
      </c>
    </row>
    <row r="9" ht="14.25" customHeight="1">
      <c r="A9" s="20"/>
      <c r="B9" s="21">
        <v>2.0</v>
      </c>
      <c r="C9" s="22">
        <f t="shared" ref="C9:L9" si="2">C$7*PI()/30*$B9</f>
        <v>10.47197551</v>
      </c>
      <c r="D9" s="23">
        <f t="shared" si="2"/>
        <v>20.94395102</v>
      </c>
      <c r="E9" s="23">
        <f t="shared" si="2"/>
        <v>31.41592654</v>
      </c>
      <c r="F9" s="23">
        <f t="shared" si="2"/>
        <v>41.88790205</v>
      </c>
      <c r="G9" s="23">
        <f t="shared" si="2"/>
        <v>52.35987756</v>
      </c>
      <c r="H9" s="23">
        <f t="shared" si="2"/>
        <v>62.83185307</v>
      </c>
      <c r="I9" s="23">
        <f t="shared" si="2"/>
        <v>73.30382858</v>
      </c>
      <c r="J9" s="23">
        <f t="shared" si="2"/>
        <v>83.7758041</v>
      </c>
      <c r="K9" s="23">
        <f t="shared" si="2"/>
        <v>94.24777961</v>
      </c>
      <c r="L9" s="23">
        <f t="shared" si="2"/>
        <v>104.7197551</v>
      </c>
      <c r="O9" s="24" t="s">
        <v>12</v>
      </c>
      <c r="P9" s="25"/>
      <c r="Q9" s="26"/>
      <c r="R9" s="26"/>
      <c r="S9" s="26"/>
      <c r="T9" s="26"/>
      <c r="U9" s="26"/>
      <c r="V9" s="26"/>
    </row>
    <row r="10" ht="14.25" customHeight="1">
      <c r="A10" s="20"/>
      <c r="B10" s="21">
        <v>3.0</v>
      </c>
      <c r="C10" s="22">
        <f t="shared" ref="C10:L10" si="3">C$7*PI()/30*$B10</f>
        <v>15.70796327</v>
      </c>
      <c r="D10" s="23">
        <f t="shared" si="3"/>
        <v>31.41592654</v>
      </c>
      <c r="E10" s="23">
        <f t="shared" si="3"/>
        <v>47.1238898</v>
      </c>
      <c r="F10" s="23">
        <f t="shared" si="3"/>
        <v>62.83185307</v>
      </c>
      <c r="G10" s="23">
        <f t="shared" si="3"/>
        <v>78.53981634</v>
      </c>
      <c r="H10" s="23">
        <f t="shared" si="3"/>
        <v>94.24777961</v>
      </c>
      <c r="I10" s="23">
        <f t="shared" si="3"/>
        <v>109.9557429</v>
      </c>
      <c r="J10" s="23">
        <f t="shared" si="3"/>
        <v>125.6637061</v>
      </c>
      <c r="K10" s="23">
        <f t="shared" si="3"/>
        <v>141.3716694</v>
      </c>
      <c r="L10" s="23">
        <f t="shared" si="3"/>
        <v>157.0796327</v>
      </c>
      <c r="O10" s="24">
        <v>100.0</v>
      </c>
      <c r="P10" s="25"/>
      <c r="Q10" s="19">
        <v>0.461</v>
      </c>
      <c r="R10" s="19">
        <v>1.353</v>
      </c>
      <c r="S10" s="19">
        <v>1.362</v>
      </c>
      <c r="T10" s="19">
        <v>1.341</v>
      </c>
      <c r="U10" s="19">
        <v>1.341</v>
      </c>
      <c r="V10" s="19">
        <v>1.335</v>
      </c>
    </row>
    <row r="11" ht="14.25" customHeight="1">
      <c r="A11" s="20"/>
      <c r="B11" s="21">
        <v>4.0</v>
      </c>
      <c r="C11" s="22">
        <f t="shared" ref="C11:L11" si="4">C$7*PI()/30*$B11</f>
        <v>20.94395102</v>
      </c>
      <c r="D11" s="23">
        <f t="shared" si="4"/>
        <v>41.88790205</v>
      </c>
      <c r="E11" s="23">
        <f t="shared" si="4"/>
        <v>62.83185307</v>
      </c>
      <c r="F11" s="23">
        <f t="shared" si="4"/>
        <v>83.7758041</v>
      </c>
      <c r="G11" s="23">
        <f t="shared" si="4"/>
        <v>104.7197551</v>
      </c>
      <c r="H11" s="23">
        <f t="shared" si="4"/>
        <v>125.6637061</v>
      </c>
      <c r="I11" s="23">
        <f t="shared" si="4"/>
        <v>146.6076572</v>
      </c>
      <c r="J11" s="23">
        <f t="shared" si="4"/>
        <v>167.5516082</v>
      </c>
      <c r="K11" s="23">
        <f t="shared" si="4"/>
        <v>188.4955592</v>
      </c>
      <c r="L11" s="23">
        <f t="shared" si="4"/>
        <v>209.4395102</v>
      </c>
      <c r="O11" s="24">
        <v>200.0</v>
      </c>
      <c r="P11" s="25"/>
      <c r="Q11" s="19">
        <v>4.71</v>
      </c>
      <c r="R11" s="19">
        <v>4.65</v>
      </c>
      <c r="S11" s="19">
        <v>4.59</v>
      </c>
      <c r="T11" s="19">
        <v>4.56</v>
      </c>
      <c r="U11" s="19">
        <v>4.5</v>
      </c>
      <c r="V11" s="19">
        <v>4.5</v>
      </c>
    </row>
    <row r="12" ht="14.25" customHeight="1">
      <c r="A12" s="20"/>
      <c r="B12" s="21">
        <v>5.0</v>
      </c>
      <c r="C12" s="22">
        <f t="shared" ref="C12:L12" si="5">C$7*PI()/30*$B12</f>
        <v>26.17993878</v>
      </c>
      <c r="D12" s="23">
        <f t="shared" si="5"/>
        <v>52.35987756</v>
      </c>
      <c r="E12" s="23">
        <f t="shared" si="5"/>
        <v>78.53981634</v>
      </c>
      <c r="F12" s="23">
        <f t="shared" si="5"/>
        <v>104.7197551</v>
      </c>
      <c r="G12" s="23">
        <f t="shared" si="5"/>
        <v>130.8996939</v>
      </c>
      <c r="H12" s="23">
        <f t="shared" si="5"/>
        <v>157.0796327</v>
      </c>
      <c r="I12" s="23">
        <f t="shared" si="5"/>
        <v>183.2595715</v>
      </c>
      <c r="J12" s="23">
        <f t="shared" si="5"/>
        <v>209.4395102</v>
      </c>
      <c r="K12" s="23">
        <f t="shared" si="5"/>
        <v>235.619449</v>
      </c>
      <c r="L12" s="23">
        <f t="shared" si="5"/>
        <v>261.7993878</v>
      </c>
      <c r="O12" s="24">
        <v>300.0</v>
      </c>
      <c r="P12" s="25"/>
      <c r="Q12" s="19">
        <v>7.95</v>
      </c>
      <c r="R12" s="19">
        <v>7.89</v>
      </c>
      <c r="S12" s="19">
        <v>7.8</v>
      </c>
      <c r="T12" s="19">
        <v>7.74</v>
      </c>
      <c r="U12" s="19">
        <v>7.71</v>
      </c>
      <c r="V12" s="19">
        <v>7.71</v>
      </c>
    </row>
    <row r="13" ht="14.25" customHeight="1">
      <c r="A13" s="20"/>
      <c r="B13" s="21">
        <v>6.0</v>
      </c>
      <c r="C13" s="22">
        <f t="shared" ref="C13:L13" si="6">C$7*PI()/30*$B13</f>
        <v>31.41592654</v>
      </c>
      <c r="D13" s="23">
        <f t="shared" si="6"/>
        <v>62.83185307</v>
      </c>
      <c r="E13" s="23">
        <f t="shared" si="6"/>
        <v>94.24777961</v>
      </c>
      <c r="F13" s="23">
        <f t="shared" si="6"/>
        <v>125.6637061</v>
      </c>
      <c r="G13" s="23">
        <f t="shared" si="6"/>
        <v>157.0796327</v>
      </c>
      <c r="H13" s="23">
        <f t="shared" si="6"/>
        <v>188.4955592</v>
      </c>
      <c r="I13" s="23">
        <f t="shared" si="6"/>
        <v>219.9114858</v>
      </c>
      <c r="J13" s="23">
        <f t="shared" si="6"/>
        <v>251.3274123</v>
      </c>
      <c r="K13" s="23">
        <f t="shared" si="6"/>
        <v>282.7433388</v>
      </c>
      <c r="L13" s="23">
        <f t="shared" si="6"/>
        <v>314.1592654</v>
      </c>
      <c r="O13" s="24">
        <v>400.0</v>
      </c>
      <c r="P13" s="25"/>
      <c r="Q13" s="19">
        <v>10.38</v>
      </c>
      <c r="R13" s="19">
        <v>10.29</v>
      </c>
      <c r="S13" s="19">
        <v>10.26</v>
      </c>
      <c r="T13" s="19">
        <v>10.17</v>
      </c>
      <c r="U13" s="19">
        <v>10.11</v>
      </c>
      <c r="V13" s="19">
        <v>10.02</v>
      </c>
    </row>
    <row r="14" ht="14.25" customHeight="1">
      <c r="A14" s="20"/>
      <c r="B14" s="21">
        <v>7.0</v>
      </c>
      <c r="C14" s="22">
        <f t="shared" ref="C14:L14" si="7">C$7*PI()/30*$B14</f>
        <v>36.65191429</v>
      </c>
      <c r="D14" s="23">
        <f t="shared" si="7"/>
        <v>73.30382858</v>
      </c>
      <c r="E14" s="23">
        <f t="shared" si="7"/>
        <v>109.9557429</v>
      </c>
      <c r="F14" s="23">
        <f t="shared" si="7"/>
        <v>146.6076572</v>
      </c>
      <c r="G14" s="23">
        <f t="shared" si="7"/>
        <v>183.2595715</v>
      </c>
      <c r="H14" s="23">
        <f t="shared" si="7"/>
        <v>219.9114858</v>
      </c>
      <c r="I14" s="23">
        <f t="shared" si="7"/>
        <v>256.5634</v>
      </c>
      <c r="J14" s="23">
        <f t="shared" si="7"/>
        <v>293.2153143</v>
      </c>
      <c r="K14" s="23">
        <f t="shared" si="7"/>
        <v>329.8672286</v>
      </c>
      <c r="L14" s="23">
        <f t="shared" si="7"/>
        <v>366.5191429</v>
      </c>
      <c r="O14" s="24">
        <v>500.0</v>
      </c>
      <c r="P14" s="25"/>
      <c r="Q14" s="19">
        <v>11.94</v>
      </c>
      <c r="R14" s="19">
        <v>11.91</v>
      </c>
      <c r="S14" s="19">
        <v>12.06</v>
      </c>
      <c r="T14" s="19">
        <v>11.73</v>
      </c>
      <c r="U14" s="19">
        <v>11.64</v>
      </c>
      <c r="V14" s="19">
        <v>11.61</v>
      </c>
    </row>
    <row r="15" ht="14.25" customHeight="1">
      <c r="A15" s="20"/>
      <c r="B15" s="27">
        <v>8.0</v>
      </c>
      <c r="C15" s="22">
        <f t="shared" ref="C15:L15" si="8">C$7*PI()/30*$B15</f>
        <v>41.88790205</v>
      </c>
      <c r="D15" s="23">
        <f t="shared" si="8"/>
        <v>83.7758041</v>
      </c>
      <c r="E15" s="23">
        <f t="shared" si="8"/>
        <v>125.6637061</v>
      </c>
      <c r="F15" s="23">
        <f t="shared" si="8"/>
        <v>167.5516082</v>
      </c>
      <c r="G15" s="23">
        <f t="shared" si="8"/>
        <v>209.4395102</v>
      </c>
      <c r="H15" s="23">
        <f t="shared" si="8"/>
        <v>251.3274123</v>
      </c>
      <c r="I15" s="23">
        <f t="shared" si="8"/>
        <v>293.2153143</v>
      </c>
      <c r="J15" s="23">
        <f t="shared" si="8"/>
        <v>335.1032164</v>
      </c>
      <c r="K15" s="23">
        <f t="shared" si="8"/>
        <v>376.9911184</v>
      </c>
      <c r="L15" s="23">
        <f t="shared" si="8"/>
        <v>418.8790205</v>
      </c>
      <c r="O15" s="28"/>
    </row>
    <row r="16" ht="14.25" customHeight="1">
      <c r="P16" s="10" t="s">
        <v>13</v>
      </c>
      <c r="Q16" s="11"/>
      <c r="R16" s="11"/>
      <c r="S16" s="11"/>
      <c r="T16" s="11"/>
      <c r="U16" s="11"/>
      <c r="V16" s="12"/>
    </row>
    <row r="17" ht="14.25" customHeight="1">
      <c r="C17" s="4" t="s">
        <v>8</v>
      </c>
      <c r="D17" s="5"/>
      <c r="E17" s="5"/>
      <c r="F17" s="5"/>
      <c r="G17" s="5"/>
      <c r="H17" s="5"/>
      <c r="I17" s="5"/>
      <c r="J17" s="5"/>
      <c r="K17" s="5"/>
      <c r="L17" s="5"/>
      <c r="O17" s="29"/>
      <c r="P17" s="30" t="s">
        <v>11</v>
      </c>
      <c r="Q17" s="31">
        <v>0.0</v>
      </c>
      <c r="R17" s="31">
        <v>2.0</v>
      </c>
      <c r="S17" s="31">
        <v>4.0</v>
      </c>
      <c r="T17" s="31">
        <v>6.0</v>
      </c>
      <c r="U17" s="31">
        <v>8.0</v>
      </c>
      <c r="V17" s="31">
        <v>10.0</v>
      </c>
    </row>
    <row r="18" ht="14.25" customHeight="1">
      <c r="B18" s="6" t="s">
        <v>14</v>
      </c>
      <c r="C18" s="7">
        <v>50.0</v>
      </c>
      <c r="D18" s="8">
        <v>100.0</v>
      </c>
      <c r="E18" s="8">
        <v>150.0</v>
      </c>
      <c r="F18" s="8">
        <v>200.0</v>
      </c>
      <c r="G18" s="8">
        <v>250.0</v>
      </c>
      <c r="H18" s="8">
        <v>300.0</v>
      </c>
      <c r="I18" s="8">
        <v>350.0</v>
      </c>
      <c r="J18" s="8">
        <v>400.0</v>
      </c>
      <c r="K18" s="8">
        <v>450.0</v>
      </c>
      <c r="L18" s="9">
        <v>500.0</v>
      </c>
      <c r="O18" s="29"/>
      <c r="P18" s="32"/>
      <c r="Q18" s="26"/>
      <c r="R18" s="26"/>
      <c r="S18" s="26"/>
      <c r="T18" s="26"/>
      <c r="U18" s="26"/>
      <c r="V18" s="26"/>
    </row>
    <row r="19" ht="14.25" customHeight="1">
      <c r="A19" s="13" t="s">
        <v>10</v>
      </c>
      <c r="B19" s="14">
        <v>1.0</v>
      </c>
      <c r="C19" s="15">
        <f>3*RBOBT*($B19/Kt)^2</f>
        <v>0.2192958882</v>
      </c>
      <c r="D19" s="15">
        <f>3*RBOBT*($B19/Kt)^2</f>
        <v>0.2192958882</v>
      </c>
      <c r="E19" s="15">
        <f>3*RBOBT*($B19/Kt)^2</f>
        <v>0.2192958882</v>
      </c>
      <c r="F19" s="15">
        <f>3*RBOBT*($B19/Kt)^2</f>
        <v>0.2192958882</v>
      </c>
      <c r="G19" s="15">
        <f>3*RBOBT*($B19/Kt)^2</f>
        <v>0.2192958882</v>
      </c>
      <c r="H19" s="15">
        <f>3*RBOBT*($B19/Kt)^2</f>
        <v>0.2192958882</v>
      </c>
      <c r="I19" s="15">
        <f>3*RBOBT*($B19/Kt)^2</f>
        <v>0.2192958882</v>
      </c>
      <c r="J19" s="15">
        <f>3*RBOBT*($B19/Kt)^2</f>
        <v>0.2192958882</v>
      </c>
      <c r="K19" s="15">
        <f>3*RBOBT*($B19/Kt)^2</f>
        <v>0.2192958882</v>
      </c>
      <c r="L19" s="15">
        <f>3*RBOBT*($B19/Kt)^2</f>
        <v>0.2192958882</v>
      </c>
      <c r="O19" s="29"/>
      <c r="P19" s="32"/>
      <c r="Q19" s="19">
        <v>0.0</v>
      </c>
      <c r="R19" s="19">
        <v>0.7248</v>
      </c>
      <c r="S19" s="19">
        <v>2.8992</v>
      </c>
      <c r="T19" s="19">
        <v>6.5232</v>
      </c>
      <c r="U19" s="19">
        <v>11.5968</v>
      </c>
      <c r="V19" s="19">
        <v>18.12</v>
      </c>
    </row>
    <row r="20" ht="14.25" customHeight="1">
      <c r="A20" s="20"/>
      <c r="B20" s="21">
        <v>2.0</v>
      </c>
      <c r="C20" s="15">
        <f>3*RBOBT*($B20/Kt)^2</f>
        <v>0.8771835528</v>
      </c>
      <c r="D20" s="15">
        <f>3*RBOBT*($B20/Kt)^2</f>
        <v>0.8771835528</v>
      </c>
      <c r="E20" s="15">
        <f>3*RBOBT*($B20/Kt)^2</f>
        <v>0.8771835528</v>
      </c>
      <c r="F20" s="15">
        <f>3*RBOBT*($B20/Kt)^2</f>
        <v>0.8771835528</v>
      </c>
      <c r="G20" s="15">
        <f>3*RBOBT*($B20/Kt)^2</f>
        <v>0.8771835528</v>
      </c>
      <c r="H20" s="15">
        <f>3*RBOBT*($B20/Kt)^2</f>
        <v>0.8771835528</v>
      </c>
      <c r="I20" s="15">
        <f>3*RBOBT*($B20/Kt)^2</f>
        <v>0.8771835528</v>
      </c>
      <c r="J20" s="15">
        <f>3*RBOBT*($B20/Kt)^2</f>
        <v>0.8771835528</v>
      </c>
      <c r="K20" s="15">
        <f>3*RBOBT*($B20/Kt)^2</f>
        <v>0.8771835528</v>
      </c>
      <c r="L20" s="15">
        <f>3*RBOBT*($B20/Kt)^2</f>
        <v>0.8771835528</v>
      </c>
      <c r="O20" s="28"/>
    </row>
    <row r="21" ht="14.25" customHeight="1">
      <c r="A21" s="20"/>
      <c r="B21" s="21">
        <v>3.0</v>
      </c>
      <c r="C21" s="15">
        <f>3*RBOBT*($B21/Kt)^2</f>
        <v>1.973662994</v>
      </c>
      <c r="D21" s="15">
        <f>3*RBOBT*($B21/Kt)^2</f>
        <v>1.973662994</v>
      </c>
      <c r="E21" s="15">
        <f>3*RBOBT*($B21/Kt)^2</f>
        <v>1.973662994</v>
      </c>
      <c r="F21" s="15">
        <f>3*RBOBT*($B21/Kt)^2</f>
        <v>1.973662994</v>
      </c>
      <c r="G21" s="15">
        <f>3*RBOBT*($B21/Kt)^2</f>
        <v>1.973662994</v>
      </c>
      <c r="H21" s="15">
        <f>3*RBOBT*($B21/Kt)^2</f>
        <v>1.973662994</v>
      </c>
      <c r="I21" s="15">
        <f>3*RBOBT*($B21/Kt)^2</f>
        <v>1.973662994</v>
      </c>
      <c r="J21" s="15">
        <f>3*RBOBT*($B21/Kt)^2</f>
        <v>1.973662994</v>
      </c>
      <c r="K21" s="15">
        <f>3*RBOBT*($B21/Kt)^2</f>
        <v>1.973662994</v>
      </c>
      <c r="L21" s="15">
        <f>3*RBOBT*($B21/Kt)^2</f>
        <v>1.973662994</v>
      </c>
      <c r="O21" s="10" t="s">
        <v>15</v>
      </c>
      <c r="P21" s="11"/>
      <c r="Q21" s="11"/>
      <c r="R21" s="11"/>
      <c r="S21" s="11"/>
      <c r="T21" s="11"/>
      <c r="U21" s="11"/>
      <c r="V21" s="12"/>
    </row>
    <row r="22" ht="14.25" customHeight="1">
      <c r="A22" s="20"/>
      <c r="B22" s="21">
        <v>4.0</v>
      </c>
      <c r="C22" s="15">
        <f>3*RBOBT*($B22/Kt)^2</f>
        <v>3.508734211</v>
      </c>
      <c r="D22" s="15">
        <f>3*RBOBT*($B22/Kt)^2</f>
        <v>3.508734211</v>
      </c>
      <c r="E22" s="15">
        <f>3*RBOBT*($B22/Kt)^2</f>
        <v>3.508734211</v>
      </c>
      <c r="F22" s="15">
        <f>3*RBOBT*($B22/Kt)^2</f>
        <v>3.508734211</v>
      </c>
      <c r="G22" s="15">
        <f>3*RBOBT*($B22/Kt)^2</f>
        <v>3.508734211</v>
      </c>
      <c r="H22" s="15">
        <f>3*RBOBT*($B22/Kt)^2</f>
        <v>3.508734211</v>
      </c>
      <c r="I22" s="15">
        <f>3*RBOBT*($B22/Kt)^2</f>
        <v>3.508734211</v>
      </c>
      <c r="J22" s="15">
        <f>3*RBOBT*($B22/Kt)^2</f>
        <v>3.508734211</v>
      </c>
      <c r="K22" s="15">
        <f>3*RBOBT*($B22/Kt)^2</f>
        <v>3.508734211</v>
      </c>
      <c r="L22" s="15">
        <f>3*RBOBT*($B22/Kt)^2</f>
        <v>3.508734211</v>
      </c>
      <c r="O22" s="17"/>
      <c r="P22" s="18" t="s">
        <v>11</v>
      </c>
      <c r="Q22" s="19">
        <v>0.0</v>
      </c>
      <c r="R22" s="19">
        <v>2.0</v>
      </c>
      <c r="S22" s="19">
        <v>4.0</v>
      </c>
      <c r="T22" s="19">
        <v>6.0</v>
      </c>
      <c r="U22" s="19">
        <v>8.0</v>
      </c>
      <c r="V22" s="19">
        <v>10.0</v>
      </c>
    </row>
    <row r="23" ht="14.25" customHeight="1">
      <c r="A23" s="20"/>
      <c r="B23" s="21">
        <v>5.0</v>
      </c>
      <c r="C23" s="15">
        <f>3*RBOBT*($B23/Kt)^2</f>
        <v>5.482397205</v>
      </c>
      <c r="D23" s="15">
        <f>3*RBOBT*($B23/Kt)^2</f>
        <v>5.482397205</v>
      </c>
      <c r="E23" s="15">
        <f>3*RBOBT*($B23/Kt)^2</f>
        <v>5.482397205</v>
      </c>
      <c r="F23" s="15">
        <f>3*RBOBT*($B23/Kt)^2</f>
        <v>5.482397205</v>
      </c>
      <c r="G23" s="15">
        <f>3*RBOBT*($B23/Kt)^2</f>
        <v>5.482397205</v>
      </c>
      <c r="H23" s="15">
        <f>3*RBOBT*($B23/Kt)^2</f>
        <v>5.482397205</v>
      </c>
      <c r="I23" s="15">
        <f>3*RBOBT*($B23/Kt)^2</f>
        <v>5.482397205</v>
      </c>
      <c r="J23" s="15">
        <f>3*RBOBT*($B23/Kt)^2</f>
        <v>5.482397205</v>
      </c>
      <c r="K23" s="15">
        <f>3*RBOBT*($B23/Kt)^2</f>
        <v>5.482397205</v>
      </c>
      <c r="L23" s="15">
        <f>3*RBOBT*($B23/Kt)^2</f>
        <v>5.482397205</v>
      </c>
      <c r="O23" s="24" t="s">
        <v>12</v>
      </c>
      <c r="P23" s="25"/>
      <c r="Q23" s="26"/>
      <c r="R23" s="26"/>
      <c r="S23" s="26"/>
      <c r="T23" s="26"/>
      <c r="U23" s="26"/>
      <c r="V23" s="26"/>
    </row>
    <row r="24" ht="14.25" customHeight="1">
      <c r="A24" s="20"/>
      <c r="B24" s="21">
        <v>6.0</v>
      </c>
      <c r="C24" s="15">
        <f>3*RBOBT*($B24/Kt)^2</f>
        <v>7.894651975</v>
      </c>
      <c r="D24" s="15">
        <f>3*RBOBT*($B24/Kt)^2</f>
        <v>7.894651975</v>
      </c>
      <c r="E24" s="15">
        <f>3*RBOBT*($B24/Kt)^2</f>
        <v>7.894651975</v>
      </c>
      <c r="F24" s="15">
        <f>3*RBOBT*($B24/Kt)^2</f>
        <v>7.894651975</v>
      </c>
      <c r="G24" s="15">
        <f>3*RBOBT*($B24/Kt)^2</f>
        <v>7.894651975</v>
      </c>
      <c r="H24" s="15">
        <f>3*RBOBT*($B24/Kt)^2</f>
        <v>7.894651975</v>
      </c>
      <c r="I24" s="15">
        <f>3*RBOBT*($B24/Kt)^2</f>
        <v>7.894651975</v>
      </c>
      <c r="J24" s="15">
        <f>3*RBOBT*($B24/Kt)^2</f>
        <v>7.894651975</v>
      </c>
      <c r="K24" s="15">
        <f>3*RBOBT*($B24/Kt)^2</f>
        <v>7.894651975</v>
      </c>
      <c r="L24" s="15">
        <f>3*RBOBT*($B24/Kt)^2</f>
        <v>7.894651975</v>
      </c>
      <c r="O24" s="24">
        <v>100.0</v>
      </c>
      <c r="P24" s="25"/>
      <c r="Q24" s="19">
        <v>0.018</v>
      </c>
      <c r="R24" s="19">
        <v>1.87</v>
      </c>
      <c r="S24" s="19">
        <v>3.62</v>
      </c>
      <c r="T24" s="19">
        <v>5.47</v>
      </c>
      <c r="U24" s="19">
        <v>7.36</v>
      </c>
      <c r="V24" s="19">
        <v>9.19</v>
      </c>
    </row>
    <row r="25" ht="14.25" customHeight="1">
      <c r="A25" s="20"/>
      <c r="B25" s="21">
        <v>7.0</v>
      </c>
      <c r="C25" s="15">
        <f>3*RBOBT*($B25/Kt)^2</f>
        <v>10.74549852</v>
      </c>
      <c r="D25" s="15">
        <f>3*RBOBT*($B25/Kt)^2</f>
        <v>10.74549852</v>
      </c>
      <c r="E25" s="15">
        <f>3*RBOBT*($B25/Kt)^2</f>
        <v>10.74549852</v>
      </c>
      <c r="F25" s="15">
        <f>3*RBOBT*($B25/Kt)^2</f>
        <v>10.74549852</v>
      </c>
      <c r="G25" s="15">
        <f>3*RBOBT*($B25/Kt)^2</f>
        <v>10.74549852</v>
      </c>
      <c r="H25" s="15">
        <f>3*RBOBT*($B25/Kt)^2</f>
        <v>10.74549852</v>
      </c>
      <c r="I25" s="15">
        <f>3*RBOBT*($B25/Kt)^2</f>
        <v>10.74549852</v>
      </c>
      <c r="J25" s="15">
        <f>3*RBOBT*($B25/Kt)^2</f>
        <v>10.74549852</v>
      </c>
      <c r="K25" s="15">
        <f>3*RBOBT*($B25/Kt)^2</f>
        <v>10.74549852</v>
      </c>
      <c r="L25" s="15">
        <f>3*RBOBT*($B25/Kt)^2</f>
        <v>10.74549852</v>
      </c>
      <c r="O25" s="24">
        <v>200.0</v>
      </c>
      <c r="P25" s="25"/>
      <c r="Q25" s="19">
        <v>0.019</v>
      </c>
      <c r="R25" s="19">
        <v>1.86</v>
      </c>
      <c r="S25" s="19">
        <v>3.62</v>
      </c>
      <c r="T25" s="19">
        <v>5.42</v>
      </c>
      <c r="U25" s="19">
        <v>7.35</v>
      </c>
      <c r="V25" s="19">
        <v>9.09</v>
      </c>
    </row>
    <row r="26" ht="14.25" customHeight="1">
      <c r="A26" s="20"/>
      <c r="B26" s="27">
        <v>8.0</v>
      </c>
      <c r="C26" s="15">
        <f>3*RBOBT*($B26/Kt)^2</f>
        <v>14.03493684</v>
      </c>
      <c r="D26" s="15">
        <f>3*RBOBT*($B26/Kt)^2</f>
        <v>14.03493684</v>
      </c>
      <c r="E26" s="15">
        <f>3*RBOBT*($B26/Kt)^2</f>
        <v>14.03493684</v>
      </c>
      <c r="F26" s="15">
        <f>3*RBOBT*($B26/Kt)^2</f>
        <v>14.03493684</v>
      </c>
      <c r="G26" s="15">
        <f>3*RBOBT*($B26/Kt)^2</f>
        <v>14.03493684</v>
      </c>
      <c r="H26" s="15">
        <f>3*RBOBT*($B26/Kt)^2</f>
        <v>14.03493684</v>
      </c>
      <c r="I26" s="15">
        <f>3*RBOBT*($B26/Kt)^2</f>
        <v>14.03493684</v>
      </c>
      <c r="J26" s="15">
        <f>3*RBOBT*($B26/Kt)^2</f>
        <v>14.03493684</v>
      </c>
      <c r="K26" s="15">
        <f>3*RBOBT*($B26/Kt)^2</f>
        <v>14.03493684</v>
      </c>
      <c r="L26" s="15">
        <f>3*RBOBT*($B26/Kt)^2</f>
        <v>14.03493684</v>
      </c>
      <c r="O26" s="24">
        <v>300.0</v>
      </c>
      <c r="P26" s="25"/>
      <c r="Q26" s="19">
        <v>0.019</v>
      </c>
      <c r="R26" s="19">
        <v>1.85</v>
      </c>
      <c r="S26" s="19">
        <v>3.61</v>
      </c>
      <c r="T26" s="19">
        <v>5.41</v>
      </c>
      <c r="U26" s="19">
        <v>7.34</v>
      </c>
      <c r="V26" s="19">
        <v>9.08</v>
      </c>
    </row>
    <row r="27" ht="14.25" customHeight="1">
      <c r="O27" s="24">
        <v>400.0</v>
      </c>
      <c r="P27" s="25"/>
      <c r="Q27" s="19">
        <v>0.02</v>
      </c>
      <c r="R27" s="19">
        <v>1.84</v>
      </c>
      <c r="S27" s="19">
        <v>3.6</v>
      </c>
      <c r="T27" s="19">
        <v>5.41</v>
      </c>
      <c r="U27" s="19">
        <v>7.33</v>
      </c>
      <c r="V27" s="19">
        <v>9.07</v>
      </c>
    </row>
    <row r="28" ht="14.25" customHeight="1">
      <c r="C28" s="4" t="s">
        <v>8</v>
      </c>
      <c r="D28" s="5"/>
      <c r="E28" s="5"/>
      <c r="F28" s="5"/>
      <c r="G28" s="5"/>
      <c r="H28" s="5"/>
      <c r="I28" s="5"/>
      <c r="J28" s="5"/>
      <c r="K28" s="5"/>
      <c r="L28" s="5"/>
      <c r="O28" s="24">
        <v>500.0</v>
      </c>
      <c r="P28" s="25"/>
      <c r="Q28" s="19">
        <v>0.021</v>
      </c>
      <c r="R28" s="19">
        <v>1.83</v>
      </c>
      <c r="S28" s="19">
        <v>3.6</v>
      </c>
      <c r="T28" s="19">
        <v>5.4</v>
      </c>
      <c r="U28" s="19">
        <v>7.33</v>
      </c>
      <c r="V28" s="19">
        <v>9.05</v>
      </c>
    </row>
    <row r="29" ht="14.25" customHeight="1">
      <c r="B29" s="6" t="s">
        <v>9</v>
      </c>
      <c r="C29" s="7">
        <v>50.0</v>
      </c>
      <c r="D29" s="8">
        <v>100.0</v>
      </c>
      <c r="E29" s="8">
        <v>150.0</v>
      </c>
      <c r="F29" s="8">
        <v>200.0</v>
      </c>
      <c r="G29" s="8">
        <v>250.0</v>
      </c>
      <c r="H29" s="8">
        <v>300.0</v>
      </c>
      <c r="I29" s="8">
        <v>350.0</v>
      </c>
      <c r="J29" s="8">
        <v>400.0</v>
      </c>
      <c r="K29" s="8">
        <v>450.0</v>
      </c>
      <c r="L29" s="9">
        <v>500.0</v>
      </c>
      <c r="O29" s="2"/>
    </row>
    <row r="30" ht="14.25" customHeight="1">
      <c r="A30" s="13" t="s">
        <v>10</v>
      </c>
      <c r="B30" s="14">
        <v>1.0</v>
      </c>
      <c r="C30" s="15">
        <f t="shared" ref="C30:J30" si="9">C31*($B30/$B31)^1.5</f>
        <v>0.03436215967</v>
      </c>
      <c r="D30" s="15">
        <f t="shared" si="9"/>
        <v>0.09719086449</v>
      </c>
      <c r="E30" s="15">
        <f t="shared" si="9"/>
        <v>0.1785510192</v>
      </c>
      <c r="F30" s="15">
        <f t="shared" si="9"/>
        <v>0.2748972774</v>
      </c>
      <c r="G30" s="15">
        <f t="shared" si="9"/>
        <v>0.3841806244</v>
      </c>
      <c r="H30" s="15">
        <f t="shared" si="9"/>
        <v>0.505018546</v>
      </c>
      <c r="I30" s="15">
        <f t="shared" si="9"/>
        <v>0.6363961031</v>
      </c>
      <c r="J30" s="15">
        <f t="shared" si="9"/>
        <v>0.7775269159</v>
      </c>
      <c r="K30" s="15">
        <f t="shared" ref="K30:L30" si="10">J30*(K$29/J$29)^1.5</f>
        <v>0.9277783112</v>
      </c>
      <c r="L30" s="15">
        <f t="shared" si="10"/>
        <v>1.086626899</v>
      </c>
      <c r="O30" s="2"/>
    </row>
    <row r="31" ht="14.25" customHeight="1">
      <c r="A31" s="20"/>
      <c r="B31" s="21">
        <v>2.0</v>
      </c>
      <c r="C31" s="15">
        <f t="shared" ref="C31:J31" si="11">C32*($B31/$B32)^1.5</f>
        <v>0.09719086449</v>
      </c>
      <c r="D31" s="15">
        <f t="shared" si="11"/>
        <v>0.2748972774</v>
      </c>
      <c r="E31" s="15">
        <f t="shared" si="11"/>
        <v>0.505018546</v>
      </c>
      <c r="F31" s="15">
        <f t="shared" si="11"/>
        <v>0.7775269159</v>
      </c>
      <c r="G31" s="15">
        <f t="shared" si="11"/>
        <v>1.086626899</v>
      </c>
      <c r="H31" s="15">
        <f t="shared" si="11"/>
        <v>1.428408154</v>
      </c>
      <c r="I31" s="15">
        <f t="shared" si="11"/>
        <v>1.8</v>
      </c>
      <c r="J31" s="15">
        <f t="shared" si="11"/>
        <v>2.199178219</v>
      </c>
      <c r="K31" s="15">
        <f t="shared" ref="K31:L31" si="12">J31*(K$29/J$29)^1.5</f>
        <v>2.624153341</v>
      </c>
      <c r="L31" s="15">
        <f t="shared" si="12"/>
        <v>3.073444995</v>
      </c>
      <c r="O31" s="2"/>
    </row>
    <row r="32" ht="14.25" customHeight="1">
      <c r="A32" s="20"/>
      <c r="B32" s="21">
        <v>3.0</v>
      </c>
      <c r="C32" s="15">
        <f t="shared" ref="C32:J32" si="13">C33*($B32/$B33)^1.5</f>
        <v>0.1785510192</v>
      </c>
      <c r="D32" s="15">
        <f t="shared" si="13"/>
        <v>0.505018546</v>
      </c>
      <c r="E32" s="15">
        <f t="shared" si="13"/>
        <v>0.9277783112</v>
      </c>
      <c r="F32" s="15">
        <f t="shared" si="13"/>
        <v>1.428408154</v>
      </c>
      <c r="G32" s="15">
        <f t="shared" si="13"/>
        <v>1.996261082</v>
      </c>
      <c r="H32" s="15">
        <f t="shared" si="13"/>
        <v>2.624153341</v>
      </c>
      <c r="I32" s="15">
        <f t="shared" si="13"/>
        <v>3.306811153</v>
      </c>
      <c r="J32" s="15">
        <f t="shared" si="13"/>
        <v>4.040148368</v>
      </c>
      <c r="K32" s="15">
        <f t="shared" ref="K32:L32" si="14">J32*(K$29/J$29)^1.5</f>
        <v>4.82087752</v>
      </c>
      <c r="L32" s="15">
        <f t="shared" si="14"/>
        <v>5.646278993</v>
      </c>
      <c r="O32" s="2"/>
    </row>
    <row r="33" ht="14.25" customHeight="1">
      <c r="A33" s="20"/>
      <c r="B33" s="21">
        <v>4.0</v>
      </c>
      <c r="C33" s="15">
        <f t="shared" ref="C33:J33" si="15">C34*($B33/$B34)^1.5</f>
        <v>0.2748972774</v>
      </c>
      <c r="D33" s="15">
        <f t="shared" si="15"/>
        <v>0.7775269159</v>
      </c>
      <c r="E33" s="15">
        <f t="shared" si="15"/>
        <v>1.428408154</v>
      </c>
      <c r="F33" s="15">
        <f t="shared" si="15"/>
        <v>2.199178219</v>
      </c>
      <c r="G33" s="15">
        <f t="shared" si="15"/>
        <v>3.073444995</v>
      </c>
      <c r="H33" s="15">
        <f t="shared" si="15"/>
        <v>4.040148368</v>
      </c>
      <c r="I33" s="15">
        <f t="shared" si="15"/>
        <v>5.091168825</v>
      </c>
      <c r="J33" s="15">
        <f t="shared" si="15"/>
        <v>6.220215327</v>
      </c>
      <c r="K33" s="15">
        <f t="shared" ref="K33:L33" si="16">J33*(K$29/J$29)^1.5</f>
        <v>7.42222649</v>
      </c>
      <c r="L33" s="15">
        <f t="shared" si="16"/>
        <v>8.693015191</v>
      </c>
      <c r="O33" s="2"/>
    </row>
    <row r="34" ht="14.25" customHeight="1">
      <c r="A34" s="20"/>
      <c r="B34" s="21">
        <v>5.0</v>
      </c>
      <c r="C34" s="15">
        <f t="shared" ref="C34:J34" si="17">C35*($B34/$B35)^1.5</f>
        <v>0.3841806244</v>
      </c>
      <c r="D34" s="15">
        <f t="shared" si="17"/>
        <v>1.086626899</v>
      </c>
      <c r="E34" s="15">
        <f t="shared" si="17"/>
        <v>1.996261082</v>
      </c>
      <c r="F34" s="15">
        <f t="shared" si="17"/>
        <v>3.073444995</v>
      </c>
      <c r="G34" s="15">
        <f t="shared" si="17"/>
        <v>4.295269959</v>
      </c>
      <c r="H34" s="15">
        <f t="shared" si="17"/>
        <v>5.646278993</v>
      </c>
      <c r="I34" s="15">
        <f t="shared" si="17"/>
        <v>7.115124735</v>
      </c>
      <c r="J34" s="15">
        <f t="shared" si="17"/>
        <v>8.693015191</v>
      </c>
      <c r="K34" s="15">
        <f t="shared" ref="K34:L34" si="18">J34*(K$29/J$29)^1.5</f>
        <v>10.37287686</v>
      </c>
      <c r="L34" s="15">
        <f t="shared" si="18"/>
        <v>12.14885806</v>
      </c>
      <c r="O34" s="2"/>
    </row>
    <row r="35" ht="14.25" customHeight="1">
      <c r="A35" s="20"/>
      <c r="B35" s="21">
        <v>6.0</v>
      </c>
      <c r="C35" s="15">
        <f t="shared" ref="C35:J35" si="19">C36*($B35/$B36)^1.5</f>
        <v>0.505018546</v>
      </c>
      <c r="D35" s="15">
        <f t="shared" si="19"/>
        <v>1.428408154</v>
      </c>
      <c r="E35" s="15">
        <f t="shared" si="19"/>
        <v>2.624153341</v>
      </c>
      <c r="F35" s="15">
        <f t="shared" si="19"/>
        <v>4.040148368</v>
      </c>
      <c r="G35" s="15">
        <f t="shared" si="19"/>
        <v>5.646278993</v>
      </c>
      <c r="H35" s="15">
        <f t="shared" si="19"/>
        <v>7.42222649</v>
      </c>
      <c r="I35" s="15">
        <f t="shared" si="19"/>
        <v>9.353074361</v>
      </c>
      <c r="J35" s="15">
        <f t="shared" si="19"/>
        <v>11.42726523</v>
      </c>
      <c r="K35" s="15">
        <f t="shared" ref="K35:L35" si="20">J35*(K$29/J$29)^1.5</f>
        <v>13.63550074</v>
      </c>
      <c r="L35" s="15">
        <f t="shared" si="20"/>
        <v>15.97008866</v>
      </c>
      <c r="O35" s="2"/>
    </row>
    <row r="36" ht="14.25" customHeight="1">
      <c r="A36" s="20"/>
      <c r="B36" s="21">
        <v>7.0</v>
      </c>
      <c r="C36" s="15">
        <f t="shared" ref="C36:I36" si="21">D36*(C$29/D$29)^1.5</f>
        <v>0.6363961031</v>
      </c>
      <c r="D36" s="15">
        <f t="shared" si="21"/>
        <v>1.8</v>
      </c>
      <c r="E36" s="15">
        <f t="shared" si="21"/>
        <v>3.306811153</v>
      </c>
      <c r="F36" s="15">
        <f t="shared" si="21"/>
        <v>5.091168825</v>
      </c>
      <c r="G36" s="15">
        <f t="shared" si="21"/>
        <v>7.115124735</v>
      </c>
      <c r="H36" s="15">
        <f t="shared" si="21"/>
        <v>9.353074361</v>
      </c>
      <c r="I36" s="15">
        <f t="shared" si="21"/>
        <v>11.78622077</v>
      </c>
      <c r="J36" s="15">
        <f>4.8*3</f>
        <v>14.4</v>
      </c>
      <c r="K36" s="15">
        <f t="shared" ref="K36:L36" si="22">J36*(K$29/J$29)^1.5</f>
        <v>17.18269478</v>
      </c>
      <c r="L36" s="15">
        <f t="shared" si="22"/>
        <v>20.1246118</v>
      </c>
      <c r="O36" s="2"/>
    </row>
    <row r="37" ht="14.25" customHeight="1">
      <c r="A37" s="20"/>
      <c r="B37" s="27">
        <v>8.0</v>
      </c>
      <c r="C37" s="15">
        <f t="shared" ref="C37:J37" si="23">C36*($B37/$B36)^1.5</f>
        <v>0.7775269159</v>
      </c>
      <c r="D37" s="15">
        <f t="shared" si="23"/>
        <v>2.199178219</v>
      </c>
      <c r="E37" s="15">
        <f t="shared" si="23"/>
        <v>4.040148368</v>
      </c>
      <c r="F37" s="15">
        <f t="shared" si="23"/>
        <v>6.220215327</v>
      </c>
      <c r="G37" s="15">
        <f t="shared" si="23"/>
        <v>8.693015191</v>
      </c>
      <c r="H37" s="15">
        <f t="shared" si="23"/>
        <v>11.42726523</v>
      </c>
      <c r="I37" s="15">
        <f t="shared" si="23"/>
        <v>14.4</v>
      </c>
      <c r="J37" s="15">
        <f t="shared" si="23"/>
        <v>17.59342575</v>
      </c>
      <c r="K37" s="15">
        <f t="shared" ref="K37:L37" si="24">J37*(K$29/J$29)^1.5</f>
        <v>20.99322673</v>
      </c>
      <c r="L37" s="15">
        <f t="shared" si="24"/>
        <v>24.58755996</v>
      </c>
      <c r="O37" s="2"/>
    </row>
    <row r="38" ht="14.25" customHeight="1">
      <c r="O38" s="2"/>
    </row>
    <row r="39" ht="14.25" customHeight="1">
      <c r="C39" s="4" t="s">
        <v>8</v>
      </c>
      <c r="D39" s="5"/>
      <c r="E39" s="5"/>
      <c r="F39" s="5"/>
      <c r="G39" s="5"/>
      <c r="H39" s="5"/>
      <c r="I39" s="5"/>
      <c r="J39" s="5"/>
      <c r="K39" s="5"/>
      <c r="L39" s="5"/>
      <c r="O39" s="2"/>
    </row>
    <row r="40" ht="14.25" customHeight="1">
      <c r="B40" s="6" t="s">
        <v>16</v>
      </c>
      <c r="C40" s="7">
        <v>50.0</v>
      </c>
      <c r="D40" s="8">
        <v>100.0</v>
      </c>
      <c r="E40" s="8">
        <v>150.0</v>
      </c>
      <c r="F40" s="8">
        <v>200.0</v>
      </c>
      <c r="G40" s="8">
        <v>250.0</v>
      </c>
      <c r="H40" s="8">
        <v>300.0</v>
      </c>
      <c r="I40" s="8">
        <v>350.0</v>
      </c>
      <c r="J40" s="8">
        <v>400.0</v>
      </c>
      <c r="K40" s="8">
        <v>450.0</v>
      </c>
      <c r="L40" s="9">
        <v>500.0</v>
      </c>
      <c r="O40" s="2"/>
    </row>
    <row r="41" ht="14.25" customHeight="1">
      <c r="A41" s="13" t="s">
        <v>10</v>
      </c>
      <c r="B41" s="14">
        <v>1.0</v>
      </c>
      <c r="C41" s="33"/>
      <c r="D41" s="33"/>
      <c r="E41" s="33"/>
      <c r="F41" s="33"/>
      <c r="G41" s="33"/>
      <c r="H41" s="33"/>
      <c r="I41" s="33"/>
      <c r="J41" s="33"/>
      <c r="K41" s="33"/>
      <c r="L41" s="33"/>
      <c r="O41" s="2"/>
    </row>
    <row r="42" ht="14.25" customHeight="1">
      <c r="A42" s="20"/>
      <c r="B42" s="21">
        <v>2.0</v>
      </c>
      <c r="C42" s="33"/>
      <c r="D42" s="33"/>
      <c r="E42" s="33"/>
      <c r="F42" s="33"/>
      <c r="G42" s="33"/>
      <c r="H42" s="33"/>
      <c r="I42" s="33"/>
      <c r="J42" s="33"/>
      <c r="K42" s="33"/>
      <c r="L42" s="33"/>
      <c r="O42" s="2"/>
    </row>
    <row r="43" ht="14.25" customHeight="1">
      <c r="A43" s="20"/>
      <c r="B43" s="21">
        <v>3.0</v>
      </c>
      <c r="C43" s="33"/>
      <c r="D43" s="33"/>
      <c r="E43" s="33"/>
      <c r="F43" s="33"/>
      <c r="G43" s="33"/>
      <c r="H43" s="33"/>
      <c r="I43" s="33"/>
      <c r="J43" s="33"/>
      <c r="K43" s="33"/>
      <c r="L43" s="33"/>
      <c r="O43" s="2"/>
    </row>
    <row r="44" ht="14.25" customHeight="1">
      <c r="A44" s="20"/>
      <c r="B44" s="21">
        <v>4.0</v>
      </c>
      <c r="C44" s="33"/>
      <c r="D44" s="33"/>
      <c r="E44" s="33"/>
      <c r="F44" s="33"/>
      <c r="G44" s="33"/>
      <c r="H44" s="33"/>
      <c r="I44" s="33"/>
      <c r="J44" s="33"/>
      <c r="K44" s="33"/>
      <c r="L44" s="33"/>
      <c r="O44" s="2"/>
    </row>
    <row r="45" ht="14.25" customHeight="1">
      <c r="A45" s="20"/>
      <c r="B45" s="21">
        <v>5.0</v>
      </c>
      <c r="C45" s="33"/>
      <c r="D45" s="33"/>
      <c r="E45" s="33"/>
      <c r="F45" s="33"/>
      <c r="G45" s="33"/>
      <c r="H45" s="33"/>
      <c r="I45" s="33"/>
      <c r="J45" s="33"/>
      <c r="K45" s="33"/>
      <c r="L45" s="33"/>
      <c r="O45" s="2"/>
    </row>
    <row r="46" ht="14.25" customHeight="1">
      <c r="A46" s="20"/>
      <c r="B46" s="21">
        <v>6.0</v>
      </c>
      <c r="C46" s="33"/>
      <c r="D46" s="33"/>
      <c r="E46" s="33"/>
      <c r="F46" s="33"/>
      <c r="G46" s="33"/>
      <c r="H46" s="33"/>
      <c r="I46" s="33"/>
      <c r="J46" s="33"/>
      <c r="K46" s="33"/>
      <c r="L46" s="33"/>
      <c r="O46" s="2"/>
    </row>
    <row r="47" ht="14.25" customHeight="1">
      <c r="A47" s="20"/>
      <c r="B47" s="21">
        <v>7.0</v>
      </c>
      <c r="C47" s="33"/>
      <c r="D47" s="33"/>
      <c r="E47" s="33"/>
      <c r="F47" s="33"/>
      <c r="G47" s="33"/>
      <c r="H47" s="33"/>
      <c r="I47" s="33"/>
      <c r="J47" s="33"/>
      <c r="K47" s="33"/>
      <c r="L47" s="33"/>
      <c r="O47" s="2"/>
    </row>
    <row r="48" ht="14.25" customHeight="1">
      <c r="A48" s="20"/>
      <c r="B48" s="27">
        <v>8.0</v>
      </c>
      <c r="C48" s="33"/>
      <c r="D48" s="33"/>
      <c r="E48" s="33"/>
      <c r="F48" s="33"/>
      <c r="G48" s="33"/>
      <c r="H48" s="33"/>
      <c r="I48" s="33"/>
      <c r="J48" s="33"/>
      <c r="K48" s="33"/>
      <c r="L48" s="33"/>
      <c r="O48" s="2"/>
    </row>
    <row r="49" ht="14.25" customHeight="1">
      <c r="O49" s="2"/>
    </row>
    <row r="50" ht="14.25" customHeight="1">
      <c r="C50" s="4" t="s">
        <v>8</v>
      </c>
      <c r="D50" s="5"/>
      <c r="E50" s="5"/>
      <c r="F50" s="5"/>
      <c r="G50" s="5"/>
      <c r="H50" s="5"/>
      <c r="I50" s="5"/>
      <c r="J50" s="5"/>
      <c r="K50" s="5"/>
      <c r="L50" s="5"/>
      <c r="O50" s="2"/>
    </row>
    <row r="51" ht="14.25" customHeight="1">
      <c r="B51" s="6" t="s">
        <v>17</v>
      </c>
      <c r="C51" s="7">
        <v>50.0</v>
      </c>
      <c r="D51" s="8">
        <v>100.0</v>
      </c>
      <c r="E51" s="8">
        <v>150.0</v>
      </c>
      <c r="F51" s="8">
        <v>200.0</v>
      </c>
      <c r="G51" s="8">
        <v>250.0</v>
      </c>
      <c r="H51" s="8">
        <v>300.0</v>
      </c>
      <c r="I51" s="8">
        <v>350.0</v>
      </c>
      <c r="J51" s="8">
        <v>400.0</v>
      </c>
      <c r="K51" s="8">
        <v>450.0</v>
      </c>
      <c r="L51" s="9">
        <v>500.0</v>
      </c>
      <c r="O51" s="2"/>
    </row>
    <row r="52" ht="14.25" customHeight="1">
      <c r="A52" s="13" t="s">
        <v>10</v>
      </c>
      <c r="B52" s="14">
        <v>1.0</v>
      </c>
      <c r="C52" s="34">
        <f t="shared" ref="C52:L52" si="25">C8/(C8+C19+C30+C41)</f>
        <v>0.9537933672</v>
      </c>
      <c r="D52" s="34">
        <f t="shared" si="25"/>
        <v>0.9706643315</v>
      </c>
      <c r="E52" s="34">
        <f t="shared" si="25"/>
        <v>0.9752979265</v>
      </c>
      <c r="F52" s="34">
        <f t="shared" si="25"/>
        <v>0.9769479503</v>
      </c>
      <c r="G52" s="34">
        <f t="shared" si="25"/>
        <v>0.9774682763</v>
      </c>
      <c r="H52" s="34">
        <f t="shared" si="25"/>
        <v>0.9774639389</v>
      </c>
      <c r="I52" s="34">
        <f t="shared" si="25"/>
        <v>0.9771861743</v>
      </c>
      <c r="J52" s="34">
        <f t="shared" si="25"/>
        <v>0.9767557608</v>
      </c>
      <c r="K52" s="34">
        <f t="shared" si="25"/>
        <v>0.9762367663</v>
      </c>
      <c r="L52" s="34">
        <f t="shared" si="25"/>
        <v>0.9756656422</v>
      </c>
      <c r="O52" s="2"/>
    </row>
    <row r="53" ht="14.25" customHeight="1">
      <c r="A53" s="20"/>
      <c r="B53" s="21">
        <v>2.0</v>
      </c>
      <c r="C53" s="34">
        <f t="shared" ref="C53:L53" si="26">C9/(C9+C20+C31+C42)</f>
        <v>0.9148746611</v>
      </c>
      <c r="D53" s="34">
        <f t="shared" si="26"/>
        <v>0.9478602838</v>
      </c>
      <c r="E53" s="34">
        <f t="shared" si="26"/>
        <v>0.9578572877</v>
      </c>
      <c r="F53" s="34">
        <f t="shared" si="26"/>
        <v>0.9619979057</v>
      </c>
      <c r="G53" s="34">
        <f t="shared" si="26"/>
        <v>0.9638498319</v>
      </c>
      <c r="H53" s="34">
        <f t="shared" si="26"/>
        <v>0.964604204</v>
      </c>
      <c r="I53" s="34">
        <f t="shared" si="26"/>
        <v>0.9647650975</v>
      </c>
      <c r="J53" s="34">
        <f t="shared" si="26"/>
        <v>0.9645793315</v>
      </c>
      <c r="K53" s="34">
        <f t="shared" si="26"/>
        <v>0.964180373</v>
      </c>
      <c r="L53" s="34">
        <f t="shared" si="26"/>
        <v>0.9636457661</v>
      </c>
      <c r="O53" s="2"/>
    </row>
    <row r="54" ht="14.25" customHeight="1">
      <c r="A54" s="20"/>
      <c r="B54" s="21">
        <v>3.0</v>
      </c>
      <c r="C54" s="34">
        <f t="shared" ref="C54:L54" si="27">C10/(C10+C21+C32+C43)</f>
        <v>0.8794964922</v>
      </c>
      <c r="D54" s="34">
        <f t="shared" si="27"/>
        <v>0.926870919</v>
      </c>
      <c r="E54" s="34">
        <f t="shared" si="27"/>
        <v>0.9420005577</v>
      </c>
      <c r="F54" s="34">
        <f t="shared" si="27"/>
        <v>0.9486355189</v>
      </c>
      <c r="G54" s="34">
        <f t="shared" si="27"/>
        <v>0.9518853888</v>
      </c>
      <c r="H54" s="34">
        <f t="shared" si="27"/>
        <v>0.953484864</v>
      </c>
      <c r="I54" s="34">
        <f t="shared" si="27"/>
        <v>0.9541769568</v>
      </c>
      <c r="J54" s="34">
        <f t="shared" si="27"/>
        <v>0.9543292471</v>
      </c>
      <c r="K54" s="34">
        <f t="shared" si="27"/>
        <v>0.9541424424</v>
      </c>
      <c r="L54" s="34">
        <f t="shared" si="27"/>
        <v>0.9537342947</v>
      </c>
      <c r="O54" s="2"/>
    </row>
    <row r="55" ht="14.25" customHeight="1">
      <c r="A55" s="20"/>
      <c r="B55" s="21">
        <v>4.0</v>
      </c>
      <c r="C55" s="34">
        <f t="shared" ref="C55:L55" si="28">C11/(C11+C22+C33+C44)</f>
        <v>0.8469874082</v>
      </c>
      <c r="D55" s="34">
        <f t="shared" si="28"/>
        <v>0.9071718721</v>
      </c>
      <c r="E55" s="34">
        <f t="shared" si="28"/>
        <v>0.927147476</v>
      </c>
      <c r="F55" s="34">
        <f t="shared" si="28"/>
        <v>0.9362128368</v>
      </c>
      <c r="G55" s="35">
        <f t="shared" si="28"/>
        <v>0.9408619514</v>
      </c>
      <c r="H55" s="35">
        <f t="shared" si="28"/>
        <v>0.943332063</v>
      </c>
      <c r="I55" s="35">
        <f t="shared" si="28"/>
        <v>0.9445909528</v>
      </c>
      <c r="J55" s="35">
        <f t="shared" si="28"/>
        <v>0.9451211703</v>
      </c>
      <c r="K55" s="35">
        <f t="shared" si="28"/>
        <v>0.9451880286</v>
      </c>
      <c r="L55" s="35">
        <f t="shared" si="28"/>
        <v>0.944948204</v>
      </c>
      <c r="O55" s="2"/>
    </row>
    <row r="56" ht="14.25" customHeight="1">
      <c r="A56" s="20"/>
      <c r="B56" s="21">
        <v>5.0</v>
      </c>
      <c r="C56" s="34">
        <f t="shared" ref="C56:L56" si="29">C12/(C12+C23+C34+C45)</f>
        <v>0.8169355534</v>
      </c>
      <c r="D56" s="34">
        <f t="shared" si="29"/>
        <v>0.8885262763</v>
      </c>
      <c r="E56" s="34">
        <f t="shared" si="29"/>
        <v>0.9130575342</v>
      </c>
      <c r="F56" s="35">
        <f t="shared" si="29"/>
        <v>0.9244687964</v>
      </c>
      <c r="G56" s="34">
        <f t="shared" si="29"/>
        <v>0.930495802</v>
      </c>
      <c r="H56" s="34">
        <f t="shared" si="29"/>
        <v>0.9338399139</v>
      </c>
      <c r="I56" s="34">
        <f t="shared" si="29"/>
        <v>0.9356800322</v>
      </c>
      <c r="J56" s="34">
        <f t="shared" si="29"/>
        <v>0.9366079319</v>
      </c>
      <c r="K56" s="34">
        <f t="shared" si="29"/>
        <v>0.936950824</v>
      </c>
      <c r="L56" s="34">
        <f t="shared" si="29"/>
        <v>0.9369029285</v>
      </c>
      <c r="O56" s="2"/>
    </row>
    <row r="57" ht="14.25" customHeight="1">
      <c r="A57" s="20"/>
      <c r="B57" s="21">
        <v>6.0</v>
      </c>
      <c r="C57" s="35">
        <f t="shared" ref="C57:L57" si="30">C13/(C13+C24+C35+C46)</f>
        <v>0.7890356759</v>
      </c>
      <c r="D57" s="34">
        <f t="shared" si="30"/>
        <v>0.8707910561</v>
      </c>
      <c r="E57" s="35">
        <f t="shared" si="30"/>
        <v>0.8995977074</v>
      </c>
      <c r="F57" s="34">
        <f t="shared" si="30"/>
        <v>0.913263591</v>
      </c>
      <c r="G57" s="34">
        <f t="shared" si="30"/>
        <v>0.9206371689</v>
      </c>
      <c r="H57" s="34">
        <f t="shared" si="30"/>
        <v>0.9248481661</v>
      </c>
      <c r="I57" s="34">
        <f t="shared" si="30"/>
        <v>0.9272736396</v>
      </c>
      <c r="J57" s="34">
        <f t="shared" si="30"/>
        <v>0.9286090335</v>
      </c>
      <c r="K57" s="34">
        <f t="shared" si="30"/>
        <v>0.9292407873</v>
      </c>
      <c r="L57" s="34">
        <f t="shared" si="30"/>
        <v>0.9293992728</v>
      </c>
      <c r="O57" s="2"/>
    </row>
    <row r="58" ht="14.25" customHeight="1">
      <c r="A58" s="20"/>
      <c r="B58" s="21">
        <v>7.0</v>
      </c>
      <c r="C58" s="34">
        <f t="shared" ref="C58:L58" si="31">C14/(C14+C25+C36+C47)</f>
        <v>0.7630440958</v>
      </c>
      <c r="D58" s="35">
        <f t="shared" si="31"/>
        <v>0.8538660821</v>
      </c>
      <c r="E58" s="34">
        <f t="shared" si="31"/>
        <v>0.8866822808</v>
      </c>
      <c r="F58" s="34">
        <f t="shared" si="31"/>
        <v>0.9025101838</v>
      </c>
      <c r="G58" s="34">
        <f t="shared" si="31"/>
        <v>0.9111942822</v>
      </c>
      <c r="H58" s="34">
        <f t="shared" si="31"/>
        <v>0.916259456</v>
      </c>
      <c r="I58" s="34">
        <f t="shared" si="31"/>
        <v>0.9192686732</v>
      </c>
      <c r="J58" s="34">
        <f t="shared" si="31"/>
        <v>0.9210157233</v>
      </c>
      <c r="K58" s="34">
        <f t="shared" si="31"/>
        <v>0.9219436818</v>
      </c>
      <c r="L58" s="34">
        <f t="shared" si="31"/>
        <v>0.9223177022</v>
      </c>
      <c r="O58" s="2"/>
    </row>
    <row r="59" ht="14.25" customHeight="1">
      <c r="A59" s="20"/>
      <c r="B59" s="27">
        <v>8.0</v>
      </c>
      <c r="C59" s="34">
        <f t="shared" ref="C59:L59" si="32">C15/(C15+C26+C37+C48)</f>
        <v>0.7387589383</v>
      </c>
      <c r="D59" s="34">
        <f t="shared" si="32"/>
        <v>0.8376749506</v>
      </c>
      <c r="E59" s="34">
        <f t="shared" si="32"/>
        <v>0.8742504717</v>
      </c>
      <c r="F59" s="34">
        <f t="shared" si="32"/>
        <v>0.892148972</v>
      </c>
      <c r="G59" s="34">
        <f t="shared" si="32"/>
        <v>0.9021053518</v>
      </c>
      <c r="H59" s="34">
        <f t="shared" si="32"/>
        <v>0.9080088242</v>
      </c>
      <c r="I59" s="34">
        <f t="shared" si="32"/>
        <v>0.9115967212</v>
      </c>
      <c r="J59" s="34">
        <f t="shared" si="32"/>
        <v>0.9137560973</v>
      </c>
      <c r="K59" s="34">
        <f t="shared" si="32"/>
        <v>0.9149841643</v>
      </c>
      <c r="L59" s="34">
        <f t="shared" si="32"/>
        <v>0.9155795219</v>
      </c>
      <c r="O59" s="2"/>
    </row>
    <row r="60" ht="14.25" customHeight="1">
      <c r="O60" s="2"/>
    </row>
    <row r="61" ht="14.25" customHeight="1">
      <c r="O61" s="2"/>
    </row>
    <row r="62" ht="14.25" customHeight="1">
      <c r="B62" s="6" t="s">
        <v>17</v>
      </c>
      <c r="C62" s="36" t="s">
        <v>18</v>
      </c>
      <c r="O62" s="2"/>
    </row>
    <row r="63" ht="14.25" customHeight="1">
      <c r="B63" s="14">
        <v>1.0</v>
      </c>
      <c r="C63" s="1">
        <f t="shared" ref="C63:C70" si="33">B63*D$4</f>
        <v>0.915</v>
      </c>
      <c r="O63" s="2"/>
    </row>
    <row r="64" ht="14.25" customHeight="1">
      <c r="B64" s="21">
        <v>2.0</v>
      </c>
      <c r="C64" s="1">
        <f t="shared" si="33"/>
        <v>1.83</v>
      </c>
      <c r="O64" s="2"/>
    </row>
    <row r="65" ht="14.25" customHeight="1">
      <c r="B65" s="21">
        <v>3.0</v>
      </c>
      <c r="C65" s="1">
        <f t="shared" si="33"/>
        <v>2.745</v>
      </c>
      <c r="O65" s="2"/>
    </row>
    <row r="66" ht="14.25" customHeight="1">
      <c r="B66" s="21">
        <v>4.0</v>
      </c>
      <c r="C66" s="1">
        <f t="shared" si="33"/>
        <v>3.66</v>
      </c>
      <c r="O66" s="2"/>
    </row>
    <row r="67" ht="14.25" customHeight="1">
      <c r="B67" s="21">
        <v>5.0</v>
      </c>
      <c r="C67" s="1">
        <f t="shared" si="33"/>
        <v>4.575</v>
      </c>
      <c r="O67" s="2"/>
    </row>
    <row r="68" ht="14.25" customHeight="1">
      <c r="B68" s="21">
        <v>6.0</v>
      </c>
      <c r="C68" s="1">
        <f t="shared" si="33"/>
        <v>5.49</v>
      </c>
      <c r="O68" s="2"/>
    </row>
    <row r="69" ht="14.25" customHeight="1">
      <c r="B69" s="21">
        <v>7.0</v>
      </c>
      <c r="C69" s="1">
        <f t="shared" si="33"/>
        <v>6.405</v>
      </c>
      <c r="O69" s="2"/>
    </row>
    <row r="70" ht="14.25" customHeight="1">
      <c r="B70" s="27">
        <v>8.0</v>
      </c>
      <c r="C70" s="1">
        <f t="shared" si="33"/>
        <v>7.32</v>
      </c>
      <c r="O70" s="2"/>
    </row>
    <row r="71" ht="14.25" customHeight="1">
      <c r="O71" s="2"/>
    </row>
    <row r="72" ht="14.25" customHeight="1">
      <c r="O72" s="2"/>
    </row>
    <row r="73" ht="14.25" customHeight="1">
      <c r="O73" s="2"/>
    </row>
    <row r="74" ht="14.25" customHeight="1">
      <c r="O74" s="2"/>
    </row>
    <row r="75" ht="14.25" customHeight="1">
      <c r="O75" s="2"/>
    </row>
    <row r="76" ht="14.25" customHeight="1">
      <c r="O76" s="2"/>
    </row>
    <row r="77" ht="14.25" customHeight="1">
      <c r="O77" s="2"/>
    </row>
    <row r="78" ht="14.25" customHeight="1">
      <c r="O78" s="2"/>
    </row>
    <row r="79" ht="14.25" customHeight="1">
      <c r="O79" s="2"/>
    </row>
    <row r="80" ht="14.25" customHeight="1">
      <c r="O80" s="2"/>
    </row>
    <row r="81" ht="14.25" customHeight="1">
      <c r="O81" s="2"/>
    </row>
    <row r="82" ht="14.25" customHeight="1">
      <c r="O82" s="2"/>
    </row>
    <row r="83" ht="14.25" customHeight="1">
      <c r="O83" s="2"/>
    </row>
    <row r="84" ht="14.25" customHeight="1">
      <c r="O84" s="2"/>
    </row>
    <row r="85" ht="14.25" customHeight="1">
      <c r="O85" s="2"/>
    </row>
    <row r="86" ht="14.25" customHeight="1">
      <c r="O86" s="2"/>
    </row>
    <row r="87" ht="14.25" customHeight="1">
      <c r="O87" s="2"/>
    </row>
    <row r="88" ht="14.25" customHeight="1">
      <c r="O88" s="2"/>
    </row>
    <row r="89" ht="14.25" customHeight="1">
      <c r="O89" s="2"/>
    </row>
    <row r="90" ht="14.25" customHeight="1">
      <c r="O90" s="2"/>
    </row>
    <row r="91" ht="14.25" customHeight="1">
      <c r="O91" s="2"/>
    </row>
    <row r="92" ht="14.25" customHeight="1">
      <c r="O92" s="2"/>
    </row>
    <row r="93" ht="14.25" customHeight="1">
      <c r="O93" s="2"/>
    </row>
    <row r="94" ht="14.25" customHeight="1">
      <c r="O94" s="2"/>
    </row>
    <row r="95" ht="14.25" customHeight="1">
      <c r="O95" s="2"/>
    </row>
    <row r="96" ht="14.25" customHeight="1">
      <c r="O96" s="2"/>
    </row>
    <row r="97" ht="14.25" customHeight="1">
      <c r="O97" s="2"/>
    </row>
    <row r="98" ht="14.25" customHeight="1">
      <c r="O98" s="2"/>
    </row>
    <row r="99" ht="14.25" customHeight="1">
      <c r="O99" s="2"/>
    </row>
    <row r="100" ht="14.25" customHeight="1">
      <c r="O100" s="2"/>
    </row>
    <row r="101" ht="14.25" customHeight="1">
      <c r="O101" s="2"/>
    </row>
    <row r="102" ht="14.25" customHeight="1">
      <c r="O102" s="2"/>
    </row>
    <row r="103" ht="14.25" customHeight="1">
      <c r="O103" s="2"/>
    </row>
    <row r="104" ht="14.25" customHeight="1">
      <c r="O104" s="2"/>
    </row>
    <row r="105" ht="14.25" customHeight="1">
      <c r="O105" s="2"/>
    </row>
    <row r="106" ht="14.25" customHeight="1">
      <c r="O106" s="2"/>
    </row>
    <row r="107" ht="14.25" customHeight="1">
      <c r="O107" s="2"/>
    </row>
    <row r="108" ht="14.25" customHeight="1">
      <c r="O108" s="2"/>
    </row>
    <row r="109" ht="14.25" customHeight="1">
      <c r="O109" s="2"/>
    </row>
    <row r="110" ht="14.25" customHeight="1">
      <c r="O110" s="2"/>
    </row>
    <row r="111" ht="14.25" customHeight="1">
      <c r="O111" s="2"/>
    </row>
    <row r="112" ht="14.25" customHeight="1">
      <c r="O112" s="2"/>
    </row>
    <row r="113" ht="14.25" customHeight="1">
      <c r="O113" s="2"/>
    </row>
    <row r="114" ht="14.25" customHeight="1">
      <c r="O114" s="2"/>
    </row>
    <row r="115" ht="14.25" customHeight="1">
      <c r="O115" s="2"/>
    </row>
    <row r="116" ht="14.25" customHeight="1">
      <c r="O116" s="2"/>
    </row>
    <row r="117" ht="14.25" customHeight="1">
      <c r="O117" s="2"/>
    </row>
    <row r="118" ht="14.25" customHeight="1">
      <c r="O118" s="2"/>
    </row>
    <row r="119" ht="14.25" customHeight="1">
      <c r="O119" s="2"/>
    </row>
    <row r="120" ht="14.25" customHeight="1">
      <c r="O120" s="2"/>
    </row>
    <row r="121" ht="14.25" customHeight="1">
      <c r="O121" s="2"/>
    </row>
    <row r="122" ht="14.25" customHeight="1">
      <c r="O122" s="2"/>
    </row>
    <row r="123" ht="14.25" customHeight="1">
      <c r="O123" s="2"/>
    </row>
    <row r="124" ht="14.25" customHeight="1">
      <c r="O124" s="2"/>
    </row>
    <row r="125" ht="14.25" customHeight="1">
      <c r="O125" s="2"/>
    </row>
    <row r="126" ht="14.25" customHeight="1">
      <c r="O126" s="2"/>
    </row>
    <row r="127" ht="14.25" customHeight="1">
      <c r="O127" s="2"/>
    </row>
    <row r="128" ht="14.25" customHeight="1">
      <c r="O128" s="2"/>
    </row>
    <row r="129" ht="14.25" customHeight="1">
      <c r="O129" s="2"/>
    </row>
    <row r="130" ht="14.25" customHeight="1">
      <c r="O130" s="2"/>
    </row>
    <row r="131" ht="14.25" customHeight="1">
      <c r="O131" s="2"/>
    </row>
    <row r="132" ht="14.25" customHeight="1">
      <c r="O132" s="2"/>
    </row>
    <row r="133" ht="14.25" customHeight="1">
      <c r="O133" s="2"/>
    </row>
    <row r="134" ht="14.25" customHeight="1">
      <c r="O134" s="2"/>
    </row>
    <row r="135" ht="14.25" customHeight="1">
      <c r="O135" s="2"/>
    </row>
    <row r="136" ht="14.25" customHeight="1">
      <c r="O136" s="2"/>
    </row>
    <row r="137" ht="14.25" customHeight="1">
      <c r="O137" s="2"/>
    </row>
    <row r="138" ht="14.25" customHeight="1">
      <c r="O138" s="2"/>
    </row>
    <row r="139" ht="14.25" customHeight="1">
      <c r="O139" s="2"/>
    </row>
    <row r="140" ht="14.25" customHeight="1">
      <c r="O140" s="2"/>
    </row>
    <row r="141" ht="14.25" customHeight="1">
      <c r="O141" s="2"/>
    </row>
    <row r="142" ht="14.25" customHeight="1">
      <c r="O142" s="2"/>
    </row>
    <row r="143" ht="14.25" customHeight="1">
      <c r="O143" s="2"/>
    </row>
    <row r="144" ht="14.25" customHeight="1">
      <c r="O144" s="2"/>
    </row>
    <row r="145" ht="14.25" customHeight="1">
      <c r="O145" s="2"/>
    </row>
    <row r="146" ht="14.25" customHeight="1">
      <c r="O146" s="2"/>
    </row>
    <row r="147" ht="14.25" customHeight="1">
      <c r="O147" s="2"/>
    </row>
    <row r="148" ht="14.25" customHeight="1">
      <c r="O148" s="2"/>
    </row>
    <row r="149" ht="14.25" customHeight="1">
      <c r="O149" s="2"/>
    </row>
    <row r="150" ht="14.25" customHeight="1">
      <c r="O150" s="2"/>
    </row>
    <row r="151" ht="14.25" customHeight="1">
      <c r="O151" s="2"/>
    </row>
    <row r="152" ht="14.25" customHeight="1">
      <c r="O152" s="2"/>
    </row>
    <row r="153" ht="14.25" customHeight="1">
      <c r="O153" s="2"/>
    </row>
    <row r="154" ht="14.25" customHeight="1">
      <c r="O154" s="2"/>
    </row>
    <row r="155" ht="14.25" customHeight="1">
      <c r="O155" s="2"/>
    </row>
    <row r="156" ht="14.25" customHeight="1">
      <c r="O156" s="2"/>
    </row>
    <row r="157" ht="14.25" customHeight="1">
      <c r="O157" s="2"/>
    </row>
    <row r="158" ht="14.25" customHeight="1">
      <c r="O158" s="2"/>
    </row>
    <row r="159" ht="14.25" customHeight="1">
      <c r="O159" s="2"/>
    </row>
    <row r="160" ht="14.25" customHeight="1">
      <c r="O160" s="2"/>
    </row>
    <row r="161" ht="14.25" customHeight="1">
      <c r="O161" s="2"/>
    </row>
    <row r="162" ht="14.25" customHeight="1">
      <c r="O162" s="2"/>
    </row>
    <row r="163" ht="14.25" customHeight="1">
      <c r="O163" s="2"/>
    </row>
    <row r="164" ht="14.25" customHeight="1">
      <c r="O164" s="2"/>
    </row>
    <row r="165" ht="14.25" customHeight="1">
      <c r="O165" s="2"/>
    </row>
    <row r="166" ht="14.25" customHeight="1">
      <c r="O166" s="2"/>
    </row>
    <row r="167" ht="14.25" customHeight="1">
      <c r="O167" s="2"/>
    </row>
    <row r="168" ht="14.25" customHeight="1">
      <c r="O168" s="2"/>
    </row>
    <row r="169" ht="14.25" customHeight="1">
      <c r="O169" s="2"/>
    </row>
    <row r="170" ht="14.25" customHeight="1">
      <c r="O170" s="2"/>
    </row>
    <row r="171" ht="14.25" customHeight="1">
      <c r="O171" s="2"/>
    </row>
    <row r="172" ht="14.25" customHeight="1">
      <c r="O172" s="2"/>
    </row>
    <row r="173" ht="14.25" customHeight="1">
      <c r="O173" s="2"/>
    </row>
    <row r="174" ht="14.25" customHeight="1">
      <c r="O174" s="2"/>
    </row>
    <row r="175" ht="14.25" customHeight="1">
      <c r="O175" s="2"/>
    </row>
    <row r="176" ht="14.25" customHeight="1">
      <c r="O176" s="2"/>
    </row>
    <row r="177" ht="14.25" customHeight="1">
      <c r="O177" s="2"/>
    </row>
    <row r="178" ht="14.25" customHeight="1">
      <c r="O178" s="2"/>
    </row>
    <row r="179" ht="14.25" customHeight="1">
      <c r="O179" s="2"/>
    </row>
    <row r="180" ht="14.25" customHeight="1">
      <c r="O180" s="2"/>
    </row>
    <row r="181" ht="14.25" customHeight="1">
      <c r="O181" s="2"/>
    </row>
    <row r="182" ht="14.25" customHeight="1">
      <c r="O182" s="2"/>
    </row>
    <row r="183" ht="14.25" customHeight="1">
      <c r="O183" s="2"/>
    </row>
    <row r="184" ht="14.25" customHeight="1">
      <c r="O184" s="2"/>
    </row>
    <row r="185" ht="14.25" customHeight="1">
      <c r="O185" s="2"/>
    </row>
    <row r="186" ht="14.25" customHeight="1">
      <c r="O186" s="2"/>
    </row>
    <row r="187" ht="14.25" customHeight="1">
      <c r="O187" s="2"/>
    </row>
    <row r="188" ht="14.25" customHeight="1">
      <c r="O188" s="2"/>
    </row>
    <row r="189" ht="14.25" customHeight="1">
      <c r="O189" s="2"/>
    </row>
    <row r="190" ht="14.25" customHeight="1">
      <c r="O190" s="2"/>
    </row>
    <row r="191" ht="14.25" customHeight="1">
      <c r="O191" s="2"/>
    </row>
    <row r="192" ht="14.25" customHeight="1">
      <c r="O192" s="2"/>
    </row>
    <row r="193" ht="14.25" customHeight="1">
      <c r="O193" s="2"/>
    </row>
    <row r="194" ht="14.25" customHeight="1">
      <c r="O194" s="2"/>
    </row>
    <row r="195" ht="14.25" customHeight="1">
      <c r="O195" s="2"/>
    </row>
    <row r="196" ht="14.25" customHeight="1">
      <c r="O196" s="2"/>
    </row>
    <row r="197" ht="14.25" customHeight="1">
      <c r="O197" s="2"/>
    </row>
    <row r="198" ht="14.25" customHeight="1">
      <c r="O198" s="2"/>
    </row>
    <row r="199" ht="14.25" customHeight="1">
      <c r="O199" s="2"/>
    </row>
    <row r="200" ht="14.25" customHeight="1">
      <c r="O200" s="2"/>
    </row>
    <row r="201" ht="14.25" customHeight="1">
      <c r="O201" s="2"/>
    </row>
    <row r="202" ht="14.25" customHeight="1">
      <c r="O202" s="2"/>
    </row>
    <row r="203" ht="14.25" customHeight="1">
      <c r="O203" s="2"/>
    </row>
    <row r="204" ht="14.25" customHeight="1">
      <c r="O204" s="2"/>
    </row>
    <row r="205" ht="14.25" customHeight="1">
      <c r="O205" s="2"/>
    </row>
    <row r="206" ht="14.25" customHeight="1">
      <c r="O206" s="2"/>
    </row>
    <row r="207" ht="14.25" customHeight="1">
      <c r="O207" s="2"/>
    </row>
    <row r="208" ht="14.25" customHeight="1">
      <c r="O208" s="2"/>
    </row>
    <row r="209" ht="14.25" customHeight="1">
      <c r="O209" s="2"/>
    </row>
    <row r="210" ht="14.25" customHeight="1">
      <c r="O210" s="2"/>
    </row>
    <row r="211" ht="14.25" customHeight="1">
      <c r="O211" s="2"/>
    </row>
    <row r="212" ht="14.25" customHeight="1">
      <c r="O212" s="2"/>
    </row>
    <row r="213" ht="14.25" customHeight="1">
      <c r="O213" s="2"/>
    </row>
    <row r="214" ht="14.25" customHeight="1">
      <c r="O214" s="2"/>
    </row>
    <row r="215" ht="14.25" customHeight="1">
      <c r="O215" s="2"/>
    </row>
    <row r="216" ht="14.25" customHeight="1">
      <c r="O216" s="2"/>
    </row>
    <row r="217" ht="14.25" customHeight="1">
      <c r="O217" s="2"/>
    </row>
    <row r="218" ht="14.25" customHeight="1">
      <c r="O218" s="2"/>
    </row>
    <row r="219" ht="14.25" customHeight="1">
      <c r="O219" s="2"/>
    </row>
    <row r="220" ht="14.25" customHeight="1">
      <c r="O220" s="2"/>
    </row>
    <row r="221" ht="14.25" customHeight="1">
      <c r="O221" s="2"/>
    </row>
    <row r="222" ht="14.25" customHeight="1">
      <c r="O222" s="2"/>
    </row>
    <row r="223" ht="14.25" customHeight="1">
      <c r="O223" s="2"/>
    </row>
    <row r="224" ht="14.25" customHeight="1">
      <c r="O224" s="2"/>
    </row>
    <row r="225" ht="14.25" customHeight="1">
      <c r="O225" s="2"/>
    </row>
    <row r="226" ht="14.25" customHeight="1">
      <c r="O226" s="2"/>
    </row>
    <row r="227" ht="14.25" customHeight="1">
      <c r="O227" s="2"/>
    </row>
    <row r="228" ht="14.25" customHeight="1">
      <c r="O228" s="2"/>
    </row>
    <row r="229" ht="14.25" customHeight="1">
      <c r="O229" s="2"/>
    </row>
    <row r="230" ht="14.25" customHeight="1">
      <c r="O230" s="2"/>
    </row>
    <row r="231" ht="14.25" customHeight="1">
      <c r="O231" s="2"/>
    </row>
    <row r="232" ht="14.25" customHeight="1">
      <c r="O232" s="2"/>
    </row>
    <row r="233" ht="14.25" customHeight="1">
      <c r="O233" s="2"/>
    </row>
    <row r="234" ht="14.25" customHeight="1">
      <c r="O234" s="2"/>
    </row>
    <row r="235" ht="14.25" customHeight="1">
      <c r="O235" s="2"/>
    </row>
    <row r="236" ht="14.25" customHeight="1">
      <c r="O236" s="2"/>
    </row>
    <row r="237" ht="14.25" customHeight="1">
      <c r="O237" s="2"/>
    </row>
    <row r="238" ht="14.25" customHeight="1">
      <c r="O238" s="2"/>
    </row>
    <row r="239" ht="14.25" customHeight="1">
      <c r="O239" s="2"/>
    </row>
    <row r="240" ht="14.25" customHeight="1">
      <c r="O240" s="2"/>
    </row>
    <row r="241" ht="14.25" customHeight="1">
      <c r="O241" s="2"/>
    </row>
    <row r="242" ht="14.25" customHeight="1">
      <c r="O242" s="2"/>
    </row>
    <row r="243" ht="14.25" customHeight="1">
      <c r="O243" s="2"/>
    </row>
    <row r="244" ht="14.25" customHeight="1">
      <c r="O244" s="2"/>
    </row>
    <row r="245" ht="14.25" customHeight="1">
      <c r="O245" s="2"/>
    </row>
    <row r="246" ht="14.25" customHeight="1">
      <c r="O246" s="2"/>
    </row>
    <row r="247" ht="14.25" customHeight="1">
      <c r="O247" s="2"/>
    </row>
    <row r="248" ht="14.25" customHeight="1">
      <c r="O248" s="2"/>
    </row>
    <row r="249" ht="14.25" customHeight="1">
      <c r="O249" s="2"/>
    </row>
    <row r="250" ht="14.25" customHeight="1">
      <c r="O250" s="2"/>
    </row>
    <row r="251" ht="14.25" customHeight="1">
      <c r="O251" s="2"/>
    </row>
    <row r="252" ht="14.25" customHeight="1">
      <c r="O252" s="2"/>
    </row>
    <row r="253" ht="14.25" customHeight="1">
      <c r="O253" s="2"/>
    </row>
    <row r="254" ht="14.25" customHeight="1">
      <c r="O254" s="2"/>
    </row>
    <row r="255" ht="14.25" customHeight="1">
      <c r="O255" s="2"/>
    </row>
    <row r="256" ht="14.25" customHeight="1">
      <c r="O256" s="2"/>
    </row>
    <row r="257" ht="14.25" customHeight="1">
      <c r="O257" s="2"/>
    </row>
    <row r="258" ht="14.25" customHeight="1">
      <c r="O258" s="2"/>
    </row>
    <row r="259" ht="14.25" customHeight="1">
      <c r="O259" s="2"/>
    </row>
    <row r="260" ht="14.25" customHeight="1">
      <c r="O260" s="2"/>
    </row>
    <row r="261" ht="14.25" customHeight="1">
      <c r="O261" s="2"/>
    </row>
    <row r="262" ht="14.25" customHeight="1">
      <c r="O262" s="2"/>
    </row>
    <row r="263" ht="14.25" customHeight="1">
      <c r="O263" s="2"/>
    </row>
    <row r="264" ht="14.25" customHeight="1">
      <c r="O264" s="2"/>
    </row>
    <row r="265" ht="14.25" customHeight="1">
      <c r="O265" s="2"/>
    </row>
    <row r="266" ht="14.25" customHeight="1">
      <c r="O266" s="2"/>
    </row>
    <row r="267" ht="14.25" customHeight="1">
      <c r="O267" s="2"/>
    </row>
    <row r="268" ht="14.25" customHeight="1">
      <c r="O268" s="2"/>
    </row>
    <row r="269" ht="14.25" customHeight="1">
      <c r="O269" s="2"/>
    </row>
    <row r="270" ht="14.25" customHeight="1">
      <c r="O270" s="2"/>
    </row>
    <row r="271" ht="14.25" customHeight="1">
      <c r="O271" s="2"/>
    </row>
    <row r="272" ht="14.25" customHeight="1">
      <c r="O272" s="2"/>
    </row>
    <row r="273" ht="14.25" customHeight="1">
      <c r="O273" s="2"/>
    </row>
    <row r="274" ht="14.25" customHeight="1">
      <c r="O274" s="2"/>
    </row>
    <row r="275" ht="14.25" customHeight="1">
      <c r="O275" s="2"/>
    </row>
    <row r="276" ht="14.25" customHeight="1">
      <c r="O276" s="2"/>
    </row>
    <row r="277" ht="14.25" customHeight="1">
      <c r="O277" s="2"/>
    </row>
    <row r="278" ht="14.25" customHeight="1">
      <c r="O278" s="2"/>
    </row>
    <row r="279" ht="14.25" customHeight="1">
      <c r="O279" s="2"/>
    </row>
    <row r="280" ht="14.25" customHeight="1">
      <c r="O280" s="2"/>
    </row>
    <row r="281" ht="14.25" customHeight="1">
      <c r="O281" s="2"/>
    </row>
    <row r="282" ht="14.25" customHeight="1">
      <c r="O282" s="2"/>
    </row>
    <row r="283" ht="14.25" customHeight="1">
      <c r="O283" s="2"/>
    </row>
    <row r="284" ht="14.25" customHeight="1">
      <c r="O284" s="2"/>
    </row>
    <row r="285" ht="14.25" customHeight="1">
      <c r="O285" s="2"/>
    </row>
    <row r="286" ht="14.25" customHeight="1">
      <c r="O286" s="2"/>
    </row>
    <row r="287" ht="14.25" customHeight="1">
      <c r="O287" s="2"/>
    </row>
    <row r="288" ht="14.25" customHeight="1">
      <c r="O288" s="2"/>
    </row>
    <row r="289" ht="14.25" customHeight="1">
      <c r="O289" s="2"/>
    </row>
    <row r="290" ht="14.25" customHeight="1">
      <c r="O290" s="2"/>
    </row>
    <row r="291" ht="14.25" customHeight="1">
      <c r="O291" s="2"/>
    </row>
    <row r="292" ht="14.25" customHeight="1">
      <c r="O292" s="2"/>
    </row>
    <row r="293" ht="14.25" customHeight="1">
      <c r="O293" s="2"/>
    </row>
    <row r="294" ht="14.25" customHeight="1">
      <c r="O294" s="2"/>
    </row>
    <row r="295" ht="14.25" customHeight="1">
      <c r="O295" s="2"/>
    </row>
    <row r="296" ht="14.25" customHeight="1">
      <c r="O296" s="2"/>
    </row>
    <row r="297" ht="14.25" customHeight="1">
      <c r="O297" s="2"/>
    </row>
    <row r="298" ht="14.25" customHeight="1">
      <c r="O298" s="2"/>
    </row>
    <row r="299" ht="14.25" customHeight="1">
      <c r="O299" s="2"/>
    </row>
    <row r="300" ht="14.25" customHeight="1">
      <c r="O300" s="2"/>
    </row>
    <row r="301" ht="14.25" customHeight="1">
      <c r="O301" s="2"/>
    </row>
    <row r="302" ht="14.25" customHeight="1">
      <c r="O302" s="2"/>
    </row>
    <row r="303" ht="14.25" customHeight="1">
      <c r="O303" s="2"/>
    </row>
    <row r="304" ht="14.25" customHeight="1">
      <c r="O304" s="2"/>
    </row>
    <row r="305" ht="14.25" customHeight="1">
      <c r="O305" s="2"/>
    </row>
    <row r="306" ht="14.25" customHeight="1">
      <c r="O306" s="2"/>
    </row>
    <row r="307" ht="14.25" customHeight="1">
      <c r="O307" s="2"/>
    </row>
    <row r="308" ht="14.25" customHeight="1">
      <c r="O308" s="2"/>
    </row>
    <row r="309" ht="14.25" customHeight="1">
      <c r="O309" s="2"/>
    </row>
    <row r="310" ht="14.25" customHeight="1">
      <c r="O310" s="2"/>
    </row>
    <row r="311" ht="14.25" customHeight="1">
      <c r="O311" s="2"/>
    </row>
    <row r="312" ht="14.25" customHeight="1">
      <c r="O312" s="2"/>
    </row>
    <row r="313" ht="14.25" customHeight="1">
      <c r="O313" s="2"/>
    </row>
    <row r="314" ht="14.25" customHeight="1">
      <c r="O314" s="2"/>
    </row>
    <row r="315" ht="14.25" customHeight="1">
      <c r="O315" s="2"/>
    </row>
    <row r="316" ht="14.25" customHeight="1">
      <c r="O316" s="2"/>
    </row>
    <row r="317" ht="14.25" customHeight="1">
      <c r="O317" s="2"/>
    </row>
    <row r="318" ht="14.25" customHeight="1">
      <c r="O318" s="2"/>
    </row>
    <row r="319" ht="14.25" customHeight="1">
      <c r="O319" s="2"/>
    </row>
    <row r="320" ht="14.25" customHeight="1">
      <c r="O320" s="2"/>
    </row>
    <row r="321" ht="14.25" customHeight="1">
      <c r="O321" s="2"/>
    </row>
    <row r="322" ht="14.25" customHeight="1">
      <c r="O322" s="2"/>
    </row>
    <row r="323" ht="14.25" customHeight="1">
      <c r="O323" s="2"/>
    </row>
    <row r="324" ht="14.25" customHeight="1">
      <c r="O324" s="2"/>
    </row>
    <row r="325" ht="14.25" customHeight="1">
      <c r="O325" s="2"/>
    </row>
    <row r="326" ht="14.25" customHeight="1">
      <c r="O326" s="2"/>
    </row>
    <row r="327" ht="14.25" customHeight="1">
      <c r="O327" s="2"/>
    </row>
    <row r="328" ht="14.25" customHeight="1">
      <c r="O328" s="2"/>
    </row>
    <row r="329" ht="14.25" customHeight="1">
      <c r="O329" s="2"/>
    </row>
    <row r="330" ht="14.25" customHeight="1">
      <c r="O330" s="2"/>
    </row>
    <row r="331" ht="14.25" customHeight="1">
      <c r="O331" s="2"/>
    </row>
    <row r="332" ht="14.25" customHeight="1">
      <c r="O332" s="2"/>
    </row>
    <row r="333" ht="14.25" customHeight="1">
      <c r="O333" s="2"/>
    </row>
    <row r="334" ht="14.25" customHeight="1">
      <c r="O334" s="2"/>
    </row>
    <row r="335" ht="14.25" customHeight="1">
      <c r="O335" s="2"/>
    </row>
    <row r="336" ht="14.25" customHeight="1">
      <c r="O336" s="2"/>
    </row>
    <row r="337" ht="14.25" customHeight="1">
      <c r="O337" s="2"/>
    </row>
    <row r="338" ht="14.25" customHeight="1">
      <c r="O338" s="2"/>
    </row>
    <row r="339" ht="14.25" customHeight="1">
      <c r="O339" s="2"/>
    </row>
    <row r="340" ht="14.25" customHeight="1">
      <c r="O340" s="2"/>
    </row>
    <row r="341" ht="14.25" customHeight="1">
      <c r="O341" s="2"/>
    </row>
    <row r="342" ht="14.25" customHeight="1">
      <c r="O342" s="2"/>
    </row>
    <row r="343" ht="14.25" customHeight="1">
      <c r="O343" s="2"/>
    </row>
    <row r="344" ht="14.25" customHeight="1">
      <c r="O344" s="2"/>
    </row>
    <row r="345" ht="14.25" customHeight="1">
      <c r="O345" s="2"/>
    </row>
    <row r="346" ht="14.25" customHeight="1">
      <c r="O346" s="2"/>
    </row>
    <row r="347" ht="14.25" customHeight="1">
      <c r="O347" s="2"/>
    </row>
    <row r="348" ht="14.25" customHeight="1">
      <c r="O348" s="2"/>
    </row>
    <row r="349" ht="14.25" customHeight="1">
      <c r="O349" s="2"/>
    </row>
    <row r="350" ht="14.25" customHeight="1">
      <c r="O350" s="2"/>
    </row>
    <row r="351" ht="14.25" customHeight="1">
      <c r="O351" s="2"/>
    </row>
    <row r="352" ht="14.25" customHeight="1">
      <c r="O352" s="2"/>
    </row>
    <row r="353" ht="14.25" customHeight="1">
      <c r="O353" s="2"/>
    </row>
    <row r="354" ht="14.25" customHeight="1">
      <c r="O354" s="2"/>
    </row>
    <row r="355" ht="14.25" customHeight="1">
      <c r="O355" s="2"/>
    </row>
    <row r="356" ht="14.25" customHeight="1">
      <c r="O356" s="2"/>
    </row>
    <row r="357" ht="14.25" customHeight="1">
      <c r="O357" s="2"/>
    </row>
    <row r="358" ht="14.25" customHeight="1">
      <c r="O358" s="2"/>
    </row>
    <row r="359" ht="14.25" customHeight="1">
      <c r="O359" s="2"/>
    </row>
    <row r="360" ht="14.25" customHeight="1">
      <c r="O360" s="2"/>
    </row>
    <row r="361" ht="14.25" customHeight="1">
      <c r="O361" s="2"/>
    </row>
    <row r="362" ht="14.25" customHeight="1">
      <c r="O362" s="2"/>
    </row>
    <row r="363" ht="14.25" customHeight="1">
      <c r="O363" s="2"/>
    </row>
    <row r="364" ht="14.25" customHeight="1">
      <c r="O364" s="2"/>
    </row>
    <row r="365" ht="14.25" customHeight="1">
      <c r="O365" s="2"/>
    </row>
    <row r="366" ht="14.25" customHeight="1">
      <c r="O366" s="2"/>
    </row>
    <row r="367" ht="14.25" customHeight="1">
      <c r="O367" s="2"/>
    </row>
    <row r="368" ht="14.25" customHeight="1">
      <c r="O368" s="2"/>
    </row>
    <row r="369" ht="14.25" customHeight="1">
      <c r="O369" s="2"/>
    </row>
    <row r="370" ht="14.25" customHeight="1">
      <c r="O370" s="2"/>
    </row>
    <row r="371" ht="14.25" customHeight="1">
      <c r="O371" s="2"/>
    </row>
    <row r="372" ht="14.25" customHeight="1">
      <c r="O372" s="2"/>
    </row>
    <row r="373" ht="14.25" customHeight="1">
      <c r="O373" s="2"/>
    </row>
    <row r="374" ht="14.25" customHeight="1">
      <c r="O374" s="2"/>
    </row>
    <row r="375" ht="14.25" customHeight="1">
      <c r="O375" s="2"/>
    </row>
    <row r="376" ht="14.25" customHeight="1">
      <c r="O376" s="2"/>
    </row>
    <row r="377" ht="14.25" customHeight="1">
      <c r="O377" s="2"/>
    </row>
    <row r="378" ht="14.25" customHeight="1">
      <c r="O378" s="2"/>
    </row>
    <row r="379" ht="14.25" customHeight="1">
      <c r="O379" s="2"/>
    </row>
    <row r="380" ht="14.25" customHeight="1">
      <c r="O380" s="2"/>
    </row>
    <row r="381" ht="14.25" customHeight="1">
      <c r="O381" s="2"/>
    </row>
    <row r="382" ht="14.25" customHeight="1">
      <c r="O382" s="2"/>
    </row>
    <row r="383" ht="14.25" customHeight="1">
      <c r="O383" s="2"/>
    </row>
    <row r="384" ht="14.25" customHeight="1">
      <c r="O384" s="2"/>
    </row>
    <row r="385" ht="14.25" customHeight="1">
      <c r="O385" s="2"/>
    </row>
    <row r="386" ht="14.25" customHeight="1">
      <c r="O386" s="2"/>
    </row>
    <row r="387" ht="14.25" customHeight="1">
      <c r="O387" s="2"/>
    </row>
    <row r="388" ht="14.25" customHeight="1">
      <c r="O388" s="2"/>
    </row>
    <row r="389" ht="14.25" customHeight="1">
      <c r="O389" s="2"/>
    </row>
    <row r="390" ht="14.25" customHeight="1">
      <c r="O390" s="2"/>
    </row>
    <row r="391" ht="14.25" customHeight="1">
      <c r="O391" s="2"/>
    </row>
    <row r="392" ht="14.25" customHeight="1">
      <c r="O392" s="2"/>
    </row>
    <row r="393" ht="14.25" customHeight="1">
      <c r="O393" s="2"/>
    </row>
    <row r="394" ht="14.25" customHeight="1">
      <c r="O394" s="2"/>
    </row>
    <row r="395" ht="14.25" customHeight="1">
      <c r="O395" s="2"/>
    </row>
    <row r="396" ht="14.25" customHeight="1">
      <c r="O396" s="2"/>
    </row>
    <row r="397" ht="14.25" customHeight="1">
      <c r="O397" s="2"/>
    </row>
    <row r="398" ht="14.25" customHeight="1">
      <c r="O398" s="2"/>
    </row>
    <row r="399" ht="14.25" customHeight="1">
      <c r="O399" s="2"/>
    </row>
    <row r="400" ht="14.25" customHeight="1">
      <c r="O400" s="2"/>
    </row>
    <row r="401" ht="14.25" customHeight="1">
      <c r="O401" s="2"/>
    </row>
    <row r="402" ht="14.25" customHeight="1">
      <c r="O402" s="2"/>
    </row>
    <row r="403" ht="14.25" customHeight="1">
      <c r="O403" s="2"/>
    </row>
    <row r="404" ht="14.25" customHeight="1">
      <c r="O404" s="2"/>
    </row>
    <row r="405" ht="14.25" customHeight="1">
      <c r="O405" s="2"/>
    </row>
    <row r="406" ht="14.25" customHeight="1">
      <c r="O406" s="2"/>
    </row>
    <row r="407" ht="14.25" customHeight="1">
      <c r="O407" s="2"/>
    </row>
    <row r="408" ht="14.25" customHeight="1">
      <c r="O408" s="2"/>
    </row>
    <row r="409" ht="14.25" customHeight="1">
      <c r="O409" s="2"/>
    </row>
    <row r="410" ht="14.25" customHeight="1">
      <c r="O410" s="2"/>
    </row>
    <row r="411" ht="14.25" customHeight="1">
      <c r="O411" s="2"/>
    </row>
    <row r="412" ht="14.25" customHeight="1">
      <c r="O412" s="2"/>
    </row>
    <row r="413" ht="14.25" customHeight="1">
      <c r="O413" s="2"/>
    </row>
    <row r="414" ht="14.25" customHeight="1">
      <c r="O414" s="2"/>
    </row>
    <row r="415" ht="14.25" customHeight="1">
      <c r="O415" s="2"/>
    </row>
    <row r="416" ht="14.25" customHeight="1">
      <c r="O416" s="2"/>
    </row>
    <row r="417" ht="14.25" customHeight="1">
      <c r="O417" s="2"/>
    </row>
    <row r="418" ht="14.25" customHeight="1">
      <c r="O418" s="2"/>
    </row>
    <row r="419" ht="14.25" customHeight="1">
      <c r="O419" s="2"/>
    </row>
    <row r="420" ht="14.25" customHeight="1">
      <c r="O420" s="2"/>
    </row>
    <row r="421" ht="14.25" customHeight="1">
      <c r="O421" s="2"/>
    </row>
    <row r="422" ht="14.25" customHeight="1">
      <c r="O422" s="2"/>
    </row>
    <row r="423" ht="14.25" customHeight="1">
      <c r="O423" s="2"/>
    </row>
    <row r="424" ht="14.25" customHeight="1">
      <c r="O424" s="2"/>
    </row>
    <row r="425" ht="14.25" customHeight="1">
      <c r="O425" s="2"/>
    </row>
    <row r="426" ht="14.25" customHeight="1">
      <c r="O426" s="2"/>
    </row>
    <row r="427" ht="14.25" customHeight="1">
      <c r="O427" s="2"/>
    </row>
    <row r="428" ht="14.25" customHeight="1">
      <c r="O428" s="2"/>
    </row>
    <row r="429" ht="14.25" customHeight="1">
      <c r="O429" s="2"/>
    </row>
    <row r="430" ht="14.25" customHeight="1">
      <c r="O430" s="2"/>
    </row>
    <row r="431" ht="14.25" customHeight="1">
      <c r="O431" s="2"/>
    </row>
    <row r="432" ht="14.25" customHeight="1">
      <c r="O432" s="2"/>
    </row>
    <row r="433" ht="14.25" customHeight="1">
      <c r="O433" s="2"/>
    </row>
    <row r="434" ht="14.25" customHeight="1">
      <c r="O434" s="2"/>
    </row>
    <row r="435" ht="14.25" customHeight="1">
      <c r="O435" s="2"/>
    </row>
    <row r="436" ht="14.25" customHeight="1">
      <c r="O436" s="2"/>
    </row>
    <row r="437" ht="14.25" customHeight="1">
      <c r="O437" s="2"/>
    </row>
    <row r="438" ht="14.25" customHeight="1">
      <c r="O438" s="2"/>
    </row>
    <row r="439" ht="14.25" customHeight="1">
      <c r="O439" s="2"/>
    </row>
    <row r="440" ht="14.25" customHeight="1">
      <c r="O440" s="2"/>
    </row>
    <row r="441" ht="14.25" customHeight="1">
      <c r="O441" s="2"/>
    </row>
    <row r="442" ht="14.25" customHeight="1">
      <c r="O442" s="2"/>
    </row>
    <row r="443" ht="14.25" customHeight="1">
      <c r="O443" s="2"/>
    </row>
    <row r="444" ht="14.25" customHeight="1">
      <c r="O444" s="2"/>
    </row>
    <row r="445" ht="14.25" customHeight="1">
      <c r="O445" s="2"/>
    </row>
    <row r="446" ht="14.25" customHeight="1">
      <c r="O446" s="2"/>
    </row>
    <row r="447" ht="14.25" customHeight="1">
      <c r="O447" s="2"/>
    </row>
    <row r="448" ht="14.25" customHeight="1">
      <c r="O448" s="2"/>
    </row>
    <row r="449" ht="14.25" customHeight="1">
      <c r="O449" s="2"/>
    </row>
    <row r="450" ht="14.25" customHeight="1">
      <c r="O450" s="2"/>
    </row>
    <row r="451" ht="14.25" customHeight="1">
      <c r="O451" s="2"/>
    </row>
    <row r="452" ht="14.25" customHeight="1">
      <c r="O452" s="2"/>
    </row>
    <row r="453" ht="14.25" customHeight="1">
      <c r="O453" s="2"/>
    </row>
    <row r="454" ht="14.25" customHeight="1">
      <c r="O454" s="2"/>
    </row>
    <row r="455" ht="14.25" customHeight="1">
      <c r="O455" s="2"/>
    </row>
    <row r="456" ht="14.25" customHeight="1">
      <c r="O456" s="2"/>
    </row>
    <row r="457" ht="14.25" customHeight="1">
      <c r="O457" s="2"/>
    </row>
    <row r="458" ht="14.25" customHeight="1">
      <c r="O458" s="2"/>
    </row>
    <row r="459" ht="14.25" customHeight="1">
      <c r="O459" s="2"/>
    </row>
    <row r="460" ht="14.25" customHeight="1">
      <c r="O460" s="2"/>
    </row>
    <row r="461" ht="14.25" customHeight="1">
      <c r="O461" s="2"/>
    </row>
    <row r="462" ht="14.25" customHeight="1">
      <c r="O462" s="2"/>
    </row>
    <row r="463" ht="14.25" customHeight="1">
      <c r="O463" s="2"/>
    </row>
    <row r="464" ht="14.25" customHeight="1">
      <c r="O464" s="2"/>
    </row>
    <row r="465" ht="14.25" customHeight="1">
      <c r="O465" s="2"/>
    </row>
    <row r="466" ht="14.25" customHeight="1">
      <c r="O466" s="2"/>
    </row>
    <row r="467" ht="14.25" customHeight="1">
      <c r="O467" s="2"/>
    </row>
    <row r="468" ht="14.25" customHeight="1">
      <c r="O468" s="2"/>
    </row>
    <row r="469" ht="14.25" customHeight="1">
      <c r="O469" s="2"/>
    </row>
    <row r="470" ht="14.25" customHeight="1">
      <c r="O470" s="2"/>
    </row>
    <row r="471" ht="14.25" customHeight="1">
      <c r="O471" s="2"/>
    </row>
    <row r="472" ht="14.25" customHeight="1">
      <c r="O472" s="2"/>
    </row>
    <row r="473" ht="14.25" customHeight="1">
      <c r="O473" s="2"/>
    </row>
    <row r="474" ht="14.25" customHeight="1">
      <c r="O474" s="2"/>
    </row>
    <row r="475" ht="14.25" customHeight="1">
      <c r="O475" s="2"/>
    </row>
    <row r="476" ht="14.25" customHeight="1">
      <c r="O476" s="2"/>
    </row>
    <row r="477" ht="14.25" customHeight="1">
      <c r="O477" s="2"/>
    </row>
    <row r="478" ht="14.25" customHeight="1">
      <c r="O478" s="2"/>
    </row>
    <row r="479" ht="14.25" customHeight="1">
      <c r="O479" s="2"/>
    </row>
    <row r="480" ht="14.25" customHeight="1">
      <c r="O480" s="2"/>
    </row>
    <row r="481" ht="14.25" customHeight="1">
      <c r="O481" s="2"/>
    </row>
    <row r="482" ht="14.25" customHeight="1">
      <c r="O482" s="2"/>
    </row>
    <row r="483" ht="14.25" customHeight="1">
      <c r="O483" s="2"/>
    </row>
    <row r="484" ht="14.25" customHeight="1">
      <c r="O484" s="2"/>
    </row>
    <row r="485" ht="14.25" customHeight="1">
      <c r="O485" s="2"/>
    </row>
    <row r="486" ht="14.25" customHeight="1">
      <c r="O486" s="2"/>
    </row>
    <row r="487" ht="14.25" customHeight="1">
      <c r="O487" s="2"/>
    </row>
    <row r="488" ht="14.25" customHeight="1">
      <c r="O488" s="2"/>
    </row>
    <row r="489" ht="14.25" customHeight="1">
      <c r="O489" s="2"/>
    </row>
    <row r="490" ht="14.25" customHeight="1">
      <c r="O490" s="2"/>
    </row>
    <row r="491" ht="14.25" customHeight="1">
      <c r="O491" s="2"/>
    </row>
    <row r="492" ht="14.25" customHeight="1">
      <c r="O492" s="2"/>
    </row>
    <row r="493" ht="14.25" customHeight="1">
      <c r="O493" s="2"/>
    </row>
    <row r="494" ht="14.25" customHeight="1">
      <c r="O494" s="2"/>
    </row>
    <row r="495" ht="14.25" customHeight="1">
      <c r="O495" s="2"/>
    </row>
    <row r="496" ht="14.25" customHeight="1">
      <c r="O496" s="2"/>
    </row>
    <row r="497" ht="14.25" customHeight="1">
      <c r="O497" s="2"/>
    </row>
    <row r="498" ht="14.25" customHeight="1">
      <c r="O498" s="2"/>
    </row>
    <row r="499" ht="14.25" customHeight="1">
      <c r="O499" s="2"/>
    </row>
    <row r="500" ht="14.25" customHeight="1">
      <c r="O500" s="2"/>
    </row>
    <row r="501" ht="14.25" customHeight="1">
      <c r="O501" s="2"/>
    </row>
    <row r="502" ht="14.25" customHeight="1">
      <c r="O502" s="2"/>
    </row>
    <row r="503" ht="14.25" customHeight="1">
      <c r="O503" s="2"/>
    </row>
    <row r="504" ht="14.25" customHeight="1">
      <c r="O504" s="2"/>
    </row>
    <row r="505" ht="14.25" customHeight="1">
      <c r="O505" s="2"/>
    </row>
    <row r="506" ht="14.25" customHeight="1">
      <c r="O506" s="2"/>
    </row>
    <row r="507" ht="14.25" customHeight="1">
      <c r="O507" s="2"/>
    </row>
    <row r="508" ht="14.25" customHeight="1">
      <c r="O508" s="2"/>
    </row>
    <row r="509" ht="14.25" customHeight="1">
      <c r="O509" s="2"/>
    </row>
    <row r="510" ht="14.25" customHeight="1">
      <c r="O510" s="2"/>
    </row>
    <row r="511" ht="14.25" customHeight="1">
      <c r="O511" s="2"/>
    </row>
    <row r="512" ht="14.25" customHeight="1">
      <c r="O512" s="2"/>
    </row>
    <row r="513" ht="14.25" customHeight="1">
      <c r="O513" s="2"/>
    </row>
    <row r="514" ht="14.25" customHeight="1">
      <c r="O514" s="2"/>
    </row>
    <row r="515" ht="14.25" customHeight="1">
      <c r="O515" s="2"/>
    </row>
    <row r="516" ht="14.25" customHeight="1">
      <c r="O516" s="2"/>
    </row>
    <row r="517" ht="14.25" customHeight="1">
      <c r="O517" s="2"/>
    </row>
    <row r="518" ht="14.25" customHeight="1">
      <c r="O518" s="2"/>
    </row>
    <row r="519" ht="14.25" customHeight="1">
      <c r="O519" s="2"/>
    </row>
    <row r="520" ht="14.25" customHeight="1">
      <c r="O520" s="2"/>
    </row>
    <row r="521" ht="14.25" customHeight="1">
      <c r="O521" s="2"/>
    </row>
    <row r="522" ht="14.25" customHeight="1">
      <c r="O522" s="2"/>
    </row>
    <row r="523" ht="14.25" customHeight="1">
      <c r="O523" s="2"/>
    </row>
    <row r="524" ht="14.25" customHeight="1">
      <c r="O524" s="2"/>
    </row>
    <row r="525" ht="14.25" customHeight="1">
      <c r="O525" s="2"/>
    </row>
    <row r="526" ht="14.25" customHeight="1">
      <c r="O526" s="2"/>
    </row>
    <row r="527" ht="14.25" customHeight="1">
      <c r="O527" s="2"/>
    </row>
    <row r="528" ht="14.25" customHeight="1">
      <c r="O528" s="2"/>
    </row>
    <row r="529" ht="14.25" customHeight="1">
      <c r="O529" s="2"/>
    </row>
    <row r="530" ht="14.25" customHeight="1">
      <c r="O530" s="2"/>
    </row>
    <row r="531" ht="14.25" customHeight="1">
      <c r="O531" s="2"/>
    </row>
    <row r="532" ht="14.25" customHeight="1">
      <c r="O532" s="2"/>
    </row>
    <row r="533" ht="14.25" customHeight="1">
      <c r="O533" s="2"/>
    </row>
    <row r="534" ht="14.25" customHeight="1">
      <c r="O534" s="2"/>
    </row>
    <row r="535" ht="14.25" customHeight="1">
      <c r="O535" s="2"/>
    </row>
    <row r="536" ht="14.25" customHeight="1">
      <c r="O536" s="2"/>
    </row>
    <row r="537" ht="14.25" customHeight="1">
      <c r="O537" s="2"/>
    </row>
    <row r="538" ht="14.25" customHeight="1">
      <c r="O538" s="2"/>
    </row>
    <row r="539" ht="14.25" customHeight="1">
      <c r="O539" s="2"/>
    </row>
    <row r="540" ht="14.25" customHeight="1">
      <c r="O540" s="2"/>
    </row>
    <row r="541" ht="14.25" customHeight="1">
      <c r="O541" s="2"/>
    </row>
    <row r="542" ht="14.25" customHeight="1">
      <c r="O542" s="2"/>
    </row>
    <row r="543" ht="14.25" customHeight="1">
      <c r="O543" s="2"/>
    </row>
    <row r="544" ht="14.25" customHeight="1">
      <c r="O544" s="2"/>
    </row>
    <row r="545" ht="14.25" customHeight="1">
      <c r="O545" s="2"/>
    </row>
    <row r="546" ht="14.25" customHeight="1">
      <c r="O546" s="2"/>
    </row>
    <row r="547" ht="14.25" customHeight="1">
      <c r="O547" s="2"/>
    </row>
    <row r="548" ht="14.25" customHeight="1">
      <c r="O548" s="2"/>
    </row>
    <row r="549" ht="14.25" customHeight="1">
      <c r="O549" s="2"/>
    </row>
    <row r="550" ht="14.25" customHeight="1">
      <c r="O550" s="2"/>
    </row>
    <row r="551" ht="14.25" customHeight="1">
      <c r="O551" s="2"/>
    </row>
    <row r="552" ht="14.25" customHeight="1">
      <c r="O552" s="2"/>
    </row>
    <row r="553" ht="14.25" customHeight="1">
      <c r="O553" s="2"/>
    </row>
    <row r="554" ht="14.25" customHeight="1">
      <c r="O554" s="2"/>
    </row>
    <row r="555" ht="14.25" customHeight="1">
      <c r="O555" s="2"/>
    </row>
    <row r="556" ht="14.25" customHeight="1">
      <c r="O556" s="2"/>
    </row>
    <row r="557" ht="14.25" customHeight="1">
      <c r="O557" s="2"/>
    </row>
    <row r="558" ht="14.25" customHeight="1">
      <c r="O558" s="2"/>
    </row>
    <row r="559" ht="14.25" customHeight="1">
      <c r="O559" s="2"/>
    </row>
    <row r="560" ht="14.25" customHeight="1">
      <c r="O560" s="2"/>
    </row>
    <row r="561" ht="14.25" customHeight="1">
      <c r="O561" s="2"/>
    </row>
    <row r="562" ht="14.25" customHeight="1">
      <c r="O562" s="2"/>
    </row>
    <row r="563" ht="14.25" customHeight="1">
      <c r="O563" s="2"/>
    </row>
    <row r="564" ht="14.25" customHeight="1">
      <c r="O564" s="2"/>
    </row>
    <row r="565" ht="14.25" customHeight="1">
      <c r="O565" s="2"/>
    </row>
    <row r="566" ht="14.25" customHeight="1">
      <c r="O566" s="2"/>
    </row>
    <row r="567" ht="14.25" customHeight="1">
      <c r="O567" s="2"/>
    </row>
    <row r="568" ht="14.25" customHeight="1">
      <c r="O568" s="2"/>
    </row>
    <row r="569" ht="14.25" customHeight="1">
      <c r="O569" s="2"/>
    </row>
    <row r="570" ht="14.25" customHeight="1">
      <c r="O570" s="2"/>
    </row>
    <row r="571" ht="14.25" customHeight="1">
      <c r="O571" s="2"/>
    </row>
    <row r="572" ht="14.25" customHeight="1">
      <c r="O572" s="2"/>
    </row>
    <row r="573" ht="14.25" customHeight="1">
      <c r="O573" s="2"/>
    </row>
    <row r="574" ht="14.25" customHeight="1">
      <c r="O574" s="2"/>
    </row>
    <row r="575" ht="14.25" customHeight="1">
      <c r="O575" s="2"/>
    </row>
    <row r="576" ht="14.25" customHeight="1">
      <c r="O576" s="2"/>
    </row>
    <row r="577" ht="14.25" customHeight="1">
      <c r="O577" s="2"/>
    </row>
    <row r="578" ht="14.25" customHeight="1">
      <c r="O578" s="2"/>
    </row>
    <row r="579" ht="14.25" customHeight="1">
      <c r="O579" s="2"/>
    </row>
    <row r="580" ht="14.25" customHeight="1">
      <c r="O580" s="2"/>
    </row>
    <row r="581" ht="14.25" customHeight="1">
      <c r="O581" s="2"/>
    </row>
    <row r="582" ht="14.25" customHeight="1">
      <c r="O582" s="2"/>
    </row>
    <row r="583" ht="14.25" customHeight="1">
      <c r="O583" s="2"/>
    </row>
    <row r="584" ht="14.25" customHeight="1">
      <c r="O584" s="2"/>
    </row>
    <row r="585" ht="14.25" customHeight="1">
      <c r="O585" s="2"/>
    </row>
    <row r="586" ht="14.25" customHeight="1">
      <c r="O586" s="2"/>
    </row>
    <row r="587" ht="14.25" customHeight="1">
      <c r="O587" s="2"/>
    </row>
    <row r="588" ht="14.25" customHeight="1">
      <c r="O588" s="2"/>
    </row>
    <row r="589" ht="14.25" customHeight="1">
      <c r="O589" s="2"/>
    </row>
    <row r="590" ht="14.25" customHeight="1">
      <c r="O590" s="2"/>
    </row>
    <row r="591" ht="14.25" customHeight="1">
      <c r="O591" s="2"/>
    </row>
    <row r="592" ht="14.25" customHeight="1">
      <c r="O592" s="2"/>
    </row>
    <row r="593" ht="14.25" customHeight="1">
      <c r="O593" s="2"/>
    </row>
    <row r="594" ht="14.25" customHeight="1">
      <c r="O594" s="2"/>
    </row>
    <row r="595" ht="14.25" customHeight="1">
      <c r="O595" s="2"/>
    </row>
    <row r="596" ht="14.25" customHeight="1">
      <c r="O596" s="2"/>
    </row>
    <row r="597" ht="14.25" customHeight="1">
      <c r="O597" s="2"/>
    </row>
    <row r="598" ht="14.25" customHeight="1">
      <c r="O598" s="2"/>
    </row>
    <row r="599" ht="14.25" customHeight="1">
      <c r="O599" s="2"/>
    </row>
    <row r="600" ht="14.25" customHeight="1">
      <c r="O600" s="2"/>
    </row>
    <row r="601" ht="14.25" customHeight="1">
      <c r="O601" s="2"/>
    </row>
    <row r="602" ht="14.25" customHeight="1">
      <c r="O602" s="2"/>
    </row>
    <row r="603" ht="14.25" customHeight="1">
      <c r="O603" s="2"/>
    </row>
    <row r="604" ht="14.25" customHeight="1">
      <c r="O604" s="2"/>
    </row>
    <row r="605" ht="14.25" customHeight="1">
      <c r="O605" s="2"/>
    </row>
    <row r="606" ht="14.25" customHeight="1">
      <c r="O606" s="2"/>
    </row>
    <row r="607" ht="14.25" customHeight="1">
      <c r="O607" s="2"/>
    </row>
    <row r="608" ht="14.25" customHeight="1">
      <c r="O608" s="2"/>
    </row>
    <row r="609" ht="14.25" customHeight="1">
      <c r="O609" s="2"/>
    </row>
    <row r="610" ht="14.25" customHeight="1">
      <c r="O610" s="2"/>
    </row>
    <row r="611" ht="14.25" customHeight="1">
      <c r="O611" s="2"/>
    </row>
    <row r="612" ht="14.25" customHeight="1">
      <c r="O612" s="2"/>
    </row>
    <row r="613" ht="14.25" customHeight="1">
      <c r="O613" s="2"/>
    </row>
    <row r="614" ht="14.25" customHeight="1">
      <c r="O614" s="2"/>
    </row>
    <row r="615" ht="14.25" customHeight="1">
      <c r="O615" s="2"/>
    </row>
    <row r="616" ht="14.25" customHeight="1">
      <c r="O616" s="2"/>
    </row>
    <row r="617" ht="14.25" customHeight="1">
      <c r="O617" s="2"/>
    </row>
    <row r="618" ht="14.25" customHeight="1">
      <c r="O618" s="2"/>
    </row>
    <row r="619" ht="14.25" customHeight="1">
      <c r="O619" s="2"/>
    </row>
    <row r="620" ht="14.25" customHeight="1">
      <c r="O620" s="2"/>
    </row>
    <row r="621" ht="14.25" customHeight="1">
      <c r="O621" s="2"/>
    </row>
    <row r="622" ht="14.25" customHeight="1">
      <c r="O622" s="2"/>
    </row>
    <row r="623" ht="14.25" customHeight="1">
      <c r="O623" s="2"/>
    </row>
    <row r="624" ht="14.25" customHeight="1">
      <c r="O624" s="2"/>
    </row>
    <row r="625" ht="14.25" customHeight="1">
      <c r="O625" s="2"/>
    </row>
    <row r="626" ht="14.25" customHeight="1">
      <c r="O626" s="2"/>
    </row>
    <row r="627" ht="14.25" customHeight="1">
      <c r="O627" s="2"/>
    </row>
    <row r="628" ht="14.25" customHeight="1">
      <c r="O628" s="2"/>
    </row>
    <row r="629" ht="14.25" customHeight="1">
      <c r="O629" s="2"/>
    </row>
    <row r="630" ht="14.25" customHeight="1">
      <c r="O630" s="2"/>
    </row>
    <row r="631" ht="14.25" customHeight="1">
      <c r="O631" s="2"/>
    </row>
    <row r="632" ht="14.25" customHeight="1">
      <c r="O632" s="2"/>
    </row>
    <row r="633" ht="14.25" customHeight="1">
      <c r="O633" s="2"/>
    </row>
    <row r="634" ht="14.25" customHeight="1">
      <c r="O634" s="2"/>
    </row>
    <row r="635" ht="14.25" customHeight="1">
      <c r="O635" s="2"/>
    </row>
    <row r="636" ht="14.25" customHeight="1">
      <c r="O636" s="2"/>
    </row>
    <row r="637" ht="14.25" customHeight="1">
      <c r="O637" s="2"/>
    </row>
    <row r="638" ht="14.25" customHeight="1">
      <c r="O638" s="2"/>
    </row>
    <row r="639" ht="14.25" customHeight="1">
      <c r="O639" s="2"/>
    </row>
    <row r="640" ht="14.25" customHeight="1">
      <c r="O640" s="2"/>
    </row>
    <row r="641" ht="14.25" customHeight="1">
      <c r="O641" s="2"/>
    </row>
    <row r="642" ht="14.25" customHeight="1">
      <c r="O642" s="2"/>
    </row>
    <row r="643" ht="14.25" customHeight="1">
      <c r="O643" s="2"/>
    </row>
    <row r="644" ht="14.25" customHeight="1">
      <c r="O644" s="2"/>
    </row>
    <row r="645" ht="14.25" customHeight="1">
      <c r="O645" s="2"/>
    </row>
    <row r="646" ht="14.25" customHeight="1">
      <c r="O646" s="2"/>
    </row>
    <row r="647" ht="14.25" customHeight="1">
      <c r="O647" s="2"/>
    </row>
    <row r="648" ht="14.25" customHeight="1">
      <c r="O648" s="2"/>
    </row>
    <row r="649" ht="14.25" customHeight="1">
      <c r="O649" s="2"/>
    </row>
    <row r="650" ht="14.25" customHeight="1">
      <c r="O650" s="2"/>
    </row>
    <row r="651" ht="14.25" customHeight="1">
      <c r="O651" s="2"/>
    </row>
    <row r="652" ht="14.25" customHeight="1">
      <c r="O652" s="2"/>
    </row>
    <row r="653" ht="14.25" customHeight="1">
      <c r="O653" s="2"/>
    </row>
    <row r="654" ht="14.25" customHeight="1">
      <c r="O654" s="2"/>
    </row>
    <row r="655" ht="14.25" customHeight="1">
      <c r="O655" s="2"/>
    </row>
    <row r="656" ht="14.25" customHeight="1">
      <c r="O656" s="2"/>
    </row>
    <row r="657" ht="14.25" customHeight="1">
      <c r="O657" s="2"/>
    </row>
    <row r="658" ht="14.25" customHeight="1">
      <c r="O658" s="2"/>
    </row>
    <row r="659" ht="14.25" customHeight="1">
      <c r="O659" s="2"/>
    </row>
    <row r="660" ht="14.25" customHeight="1">
      <c r="O660" s="2"/>
    </row>
    <row r="661" ht="14.25" customHeight="1">
      <c r="O661" s="2"/>
    </row>
    <row r="662" ht="14.25" customHeight="1">
      <c r="O662" s="2"/>
    </row>
    <row r="663" ht="14.25" customHeight="1">
      <c r="O663" s="2"/>
    </row>
    <row r="664" ht="14.25" customHeight="1">
      <c r="O664" s="2"/>
    </row>
    <row r="665" ht="14.25" customHeight="1">
      <c r="O665" s="2"/>
    </row>
    <row r="666" ht="14.25" customHeight="1">
      <c r="O666" s="2"/>
    </row>
    <row r="667" ht="14.25" customHeight="1">
      <c r="O667" s="2"/>
    </row>
    <row r="668" ht="14.25" customHeight="1">
      <c r="O668" s="2"/>
    </row>
    <row r="669" ht="14.25" customHeight="1">
      <c r="O669" s="2"/>
    </row>
    <row r="670" ht="14.25" customHeight="1">
      <c r="O670" s="2"/>
    </row>
    <row r="671" ht="14.25" customHeight="1">
      <c r="O671" s="2"/>
    </row>
    <row r="672" ht="14.25" customHeight="1">
      <c r="O672" s="2"/>
    </row>
    <row r="673" ht="14.25" customHeight="1">
      <c r="O673" s="2"/>
    </row>
    <row r="674" ht="14.25" customHeight="1">
      <c r="O674" s="2"/>
    </row>
    <row r="675" ht="14.25" customHeight="1">
      <c r="O675" s="2"/>
    </row>
    <row r="676" ht="14.25" customHeight="1">
      <c r="O676" s="2"/>
    </row>
    <row r="677" ht="14.25" customHeight="1">
      <c r="O677" s="2"/>
    </row>
    <row r="678" ht="14.25" customHeight="1">
      <c r="O678" s="2"/>
    </row>
    <row r="679" ht="14.25" customHeight="1">
      <c r="O679" s="2"/>
    </row>
    <row r="680" ht="14.25" customHeight="1">
      <c r="O680" s="2"/>
    </row>
    <row r="681" ht="14.25" customHeight="1">
      <c r="O681" s="2"/>
    </row>
    <row r="682" ht="14.25" customHeight="1">
      <c r="O682" s="2"/>
    </row>
    <row r="683" ht="14.25" customHeight="1">
      <c r="O683" s="2"/>
    </row>
    <row r="684" ht="14.25" customHeight="1">
      <c r="O684" s="2"/>
    </row>
    <row r="685" ht="14.25" customHeight="1">
      <c r="O685" s="2"/>
    </row>
    <row r="686" ht="14.25" customHeight="1">
      <c r="O686" s="2"/>
    </row>
    <row r="687" ht="14.25" customHeight="1">
      <c r="O687" s="2"/>
    </row>
    <row r="688" ht="14.25" customHeight="1">
      <c r="O688" s="2"/>
    </row>
    <row r="689" ht="14.25" customHeight="1">
      <c r="O689" s="2"/>
    </row>
    <row r="690" ht="14.25" customHeight="1">
      <c r="O690" s="2"/>
    </row>
    <row r="691" ht="14.25" customHeight="1">
      <c r="O691" s="2"/>
    </row>
    <row r="692" ht="14.25" customHeight="1">
      <c r="O692" s="2"/>
    </row>
    <row r="693" ht="14.25" customHeight="1">
      <c r="O693" s="2"/>
    </row>
    <row r="694" ht="14.25" customHeight="1">
      <c r="O694" s="2"/>
    </row>
    <row r="695" ht="14.25" customHeight="1">
      <c r="O695" s="2"/>
    </row>
    <row r="696" ht="14.25" customHeight="1">
      <c r="O696" s="2"/>
    </row>
    <row r="697" ht="14.25" customHeight="1">
      <c r="O697" s="2"/>
    </row>
    <row r="698" ht="14.25" customHeight="1">
      <c r="O698" s="2"/>
    </row>
    <row r="699" ht="14.25" customHeight="1">
      <c r="O699" s="2"/>
    </row>
    <row r="700" ht="14.25" customHeight="1">
      <c r="O700" s="2"/>
    </row>
    <row r="701" ht="14.25" customHeight="1">
      <c r="O701" s="2"/>
    </row>
    <row r="702" ht="14.25" customHeight="1">
      <c r="O702" s="2"/>
    </row>
    <row r="703" ht="14.25" customHeight="1">
      <c r="O703" s="2"/>
    </row>
    <row r="704" ht="14.25" customHeight="1">
      <c r="O704" s="2"/>
    </row>
    <row r="705" ht="14.25" customHeight="1">
      <c r="O705" s="2"/>
    </row>
    <row r="706" ht="14.25" customHeight="1">
      <c r="O706" s="2"/>
    </row>
    <row r="707" ht="14.25" customHeight="1">
      <c r="O707" s="2"/>
    </row>
    <row r="708" ht="14.25" customHeight="1">
      <c r="O708" s="2"/>
    </row>
    <row r="709" ht="14.25" customHeight="1">
      <c r="O709" s="2"/>
    </row>
    <row r="710" ht="14.25" customHeight="1">
      <c r="O710" s="2"/>
    </row>
    <row r="711" ht="14.25" customHeight="1">
      <c r="O711" s="2"/>
    </row>
    <row r="712" ht="14.25" customHeight="1">
      <c r="O712" s="2"/>
    </row>
    <row r="713" ht="14.25" customHeight="1">
      <c r="O713" s="2"/>
    </row>
    <row r="714" ht="14.25" customHeight="1">
      <c r="O714" s="2"/>
    </row>
    <row r="715" ht="14.25" customHeight="1">
      <c r="O715" s="2"/>
    </row>
    <row r="716" ht="14.25" customHeight="1">
      <c r="O716" s="2"/>
    </row>
    <row r="717" ht="14.25" customHeight="1">
      <c r="O717" s="2"/>
    </row>
    <row r="718" ht="14.25" customHeight="1">
      <c r="O718" s="2"/>
    </row>
    <row r="719" ht="14.25" customHeight="1">
      <c r="O719" s="2"/>
    </row>
    <row r="720" ht="14.25" customHeight="1">
      <c r="O720" s="2"/>
    </row>
    <row r="721" ht="14.25" customHeight="1">
      <c r="O721" s="2"/>
    </row>
    <row r="722" ht="14.25" customHeight="1">
      <c r="O722" s="2"/>
    </row>
    <row r="723" ht="14.25" customHeight="1">
      <c r="O723" s="2"/>
    </row>
    <row r="724" ht="14.25" customHeight="1">
      <c r="O724" s="2"/>
    </row>
    <row r="725" ht="14.25" customHeight="1">
      <c r="O725" s="2"/>
    </row>
    <row r="726" ht="14.25" customHeight="1">
      <c r="O726" s="2"/>
    </row>
    <row r="727" ht="14.25" customHeight="1">
      <c r="O727" s="2"/>
    </row>
    <row r="728" ht="14.25" customHeight="1">
      <c r="O728" s="2"/>
    </row>
    <row r="729" ht="14.25" customHeight="1">
      <c r="O729" s="2"/>
    </row>
    <row r="730" ht="14.25" customHeight="1">
      <c r="O730" s="2"/>
    </row>
    <row r="731" ht="14.25" customHeight="1">
      <c r="O731" s="2"/>
    </row>
    <row r="732" ht="14.25" customHeight="1">
      <c r="O732" s="2"/>
    </row>
    <row r="733" ht="14.25" customHeight="1">
      <c r="O733" s="2"/>
    </row>
    <row r="734" ht="14.25" customHeight="1">
      <c r="O734" s="2"/>
    </row>
    <row r="735" ht="14.25" customHeight="1">
      <c r="O735" s="2"/>
    </row>
    <row r="736" ht="14.25" customHeight="1">
      <c r="O736" s="2"/>
    </row>
    <row r="737" ht="14.25" customHeight="1">
      <c r="O737" s="2"/>
    </row>
    <row r="738" ht="14.25" customHeight="1">
      <c r="O738" s="2"/>
    </row>
    <row r="739" ht="14.25" customHeight="1">
      <c r="O739" s="2"/>
    </row>
    <row r="740" ht="14.25" customHeight="1">
      <c r="O740" s="2"/>
    </row>
    <row r="741" ht="14.25" customHeight="1">
      <c r="O741" s="2"/>
    </row>
    <row r="742" ht="14.25" customHeight="1">
      <c r="O742" s="2"/>
    </row>
    <row r="743" ht="14.25" customHeight="1">
      <c r="O743" s="2"/>
    </row>
    <row r="744" ht="14.25" customHeight="1">
      <c r="O744" s="2"/>
    </row>
    <row r="745" ht="14.25" customHeight="1">
      <c r="O745" s="2"/>
    </row>
    <row r="746" ht="14.25" customHeight="1">
      <c r="O746" s="2"/>
    </row>
    <row r="747" ht="14.25" customHeight="1">
      <c r="O747" s="2"/>
    </row>
    <row r="748" ht="14.25" customHeight="1">
      <c r="O748" s="2"/>
    </row>
    <row r="749" ht="14.25" customHeight="1">
      <c r="O749" s="2"/>
    </row>
    <row r="750" ht="14.25" customHeight="1">
      <c r="O750" s="2"/>
    </row>
    <row r="751" ht="14.25" customHeight="1">
      <c r="O751" s="2"/>
    </row>
    <row r="752" ht="14.25" customHeight="1">
      <c r="O752" s="2"/>
    </row>
    <row r="753" ht="14.25" customHeight="1">
      <c r="O753" s="2"/>
    </row>
    <row r="754" ht="14.25" customHeight="1">
      <c r="O754" s="2"/>
    </row>
    <row r="755" ht="14.25" customHeight="1">
      <c r="O755" s="2"/>
    </row>
    <row r="756" ht="14.25" customHeight="1">
      <c r="O756" s="2"/>
    </row>
    <row r="757" ht="14.25" customHeight="1">
      <c r="O757" s="2"/>
    </row>
    <row r="758" ht="14.25" customHeight="1">
      <c r="O758" s="2"/>
    </row>
    <row r="759" ht="14.25" customHeight="1">
      <c r="O759" s="2"/>
    </row>
    <row r="760" ht="14.25" customHeight="1">
      <c r="O760" s="2"/>
    </row>
    <row r="761" ht="14.25" customHeight="1">
      <c r="O761" s="2"/>
    </row>
    <row r="762" ht="14.25" customHeight="1">
      <c r="O762" s="2"/>
    </row>
    <row r="763" ht="14.25" customHeight="1">
      <c r="O763" s="2"/>
    </row>
    <row r="764" ht="14.25" customHeight="1">
      <c r="O764" s="2"/>
    </row>
    <row r="765" ht="14.25" customHeight="1">
      <c r="O765" s="2"/>
    </row>
    <row r="766" ht="14.25" customHeight="1">
      <c r="O766" s="2"/>
    </row>
    <row r="767" ht="14.25" customHeight="1">
      <c r="O767" s="2"/>
    </row>
    <row r="768" ht="14.25" customHeight="1">
      <c r="O768" s="2"/>
    </row>
    <row r="769" ht="14.25" customHeight="1">
      <c r="O769" s="2"/>
    </row>
    <row r="770" ht="14.25" customHeight="1">
      <c r="O770" s="2"/>
    </row>
    <row r="771" ht="14.25" customHeight="1">
      <c r="O771" s="2"/>
    </row>
    <row r="772" ht="14.25" customHeight="1">
      <c r="O772" s="2"/>
    </row>
    <row r="773" ht="14.25" customHeight="1">
      <c r="O773" s="2"/>
    </row>
    <row r="774" ht="14.25" customHeight="1">
      <c r="O774" s="2"/>
    </row>
    <row r="775" ht="14.25" customHeight="1">
      <c r="O775" s="2"/>
    </row>
    <row r="776" ht="14.25" customHeight="1">
      <c r="O776" s="2"/>
    </row>
    <row r="777" ht="14.25" customHeight="1">
      <c r="O777" s="2"/>
    </row>
    <row r="778" ht="14.25" customHeight="1">
      <c r="O778" s="2"/>
    </row>
    <row r="779" ht="14.25" customHeight="1">
      <c r="O779" s="2"/>
    </row>
    <row r="780" ht="14.25" customHeight="1">
      <c r="O780" s="2"/>
    </row>
    <row r="781" ht="14.25" customHeight="1">
      <c r="O781" s="2"/>
    </row>
    <row r="782" ht="14.25" customHeight="1">
      <c r="O782" s="2"/>
    </row>
    <row r="783" ht="14.25" customHeight="1">
      <c r="O783" s="2"/>
    </row>
    <row r="784" ht="14.25" customHeight="1">
      <c r="O784" s="2"/>
    </row>
    <row r="785" ht="14.25" customHeight="1">
      <c r="O785" s="2"/>
    </row>
    <row r="786" ht="14.25" customHeight="1">
      <c r="O786" s="2"/>
    </row>
    <row r="787" ht="14.25" customHeight="1">
      <c r="O787" s="2"/>
    </row>
    <row r="788" ht="14.25" customHeight="1">
      <c r="O788" s="2"/>
    </row>
    <row r="789" ht="14.25" customHeight="1">
      <c r="O789" s="2"/>
    </row>
    <row r="790" ht="14.25" customHeight="1">
      <c r="O790" s="2"/>
    </row>
    <row r="791" ht="14.25" customHeight="1">
      <c r="O791" s="2"/>
    </row>
    <row r="792" ht="14.25" customHeight="1">
      <c r="O792" s="2"/>
    </row>
    <row r="793" ht="14.25" customHeight="1">
      <c r="O793" s="2"/>
    </row>
    <row r="794" ht="14.25" customHeight="1">
      <c r="O794" s="2"/>
    </row>
    <row r="795" ht="14.25" customHeight="1">
      <c r="O795" s="2"/>
    </row>
    <row r="796" ht="14.25" customHeight="1">
      <c r="O796" s="2"/>
    </row>
    <row r="797" ht="14.25" customHeight="1">
      <c r="O797" s="2"/>
    </row>
    <row r="798" ht="14.25" customHeight="1">
      <c r="O798" s="2"/>
    </row>
    <row r="799" ht="14.25" customHeight="1">
      <c r="O799" s="2"/>
    </row>
    <row r="800" ht="14.25" customHeight="1">
      <c r="O800" s="2"/>
    </row>
    <row r="801" ht="14.25" customHeight="1">
      <c r="O801" s="2"/>
    </row>
    <row r="802" ht="14.25" customHeight="1">
      <c r="O802" s="2"/>
    </row>
    <row r="803" ht="14.25" customHeight="1">
      <c r="O803" s="2"/>
    </row>
    <row r="804" ht="14.25" customHeight="1">
      <c r="O804" s="2"/>
    </row>
    <row r="805" ht="14.25" customHeight="1">
      <c r="O805" s="2"/>
    </row>
    <row r="806" ht="14.25" customHeight="1">
      <c r="O806" s="2"/>
    </row>
    <row r="807" ht="14.25" customHeight="1">
      <c r="O807" s="2"/>
    </row>
    <row r="808" ht="14.25" customHeight="1">
      <c r="O808" s="2"/>
    </row>
    <row r="809" ht="14.25" customHeight="1">
      <c r="O809" s="2"/>
    </row>
    <row r="810" ht="14.25" customHeight="1">
      <c r="O810" s="2"/>
    </row>
    <row r="811" ht="14.25" customHeight="1">
      <c r="O811" s="2"/>
    </row>
    <row r="812" ht="14.25" customHeight="1">
      <c r="O812" s="2"/>
    </row>
    <row r="813" ht="14.25" customHeight="1">
      <c r="O813" s="2"/>
    </row>
    <row r="814" ht="14.25" customHeight="1">
      <c r="O814" s="2"/>
    </row>
    <row r="815" ht="14.25" customHeight="1">
      <c r="O815" s="2"/>
    </row>
    <row r="816" ht="14.25" customHeight="1">
      <c r="O816" s="2"/>
    </row>
    <row r="817" ht="14.25" customHeight="1">
      <c r="O817" s="2"/>
    </row>
    <row r="818" ht="14.25" customHeight="1">
      <c r="O818" s="2"/>
    </row>
    <row r="819" ht="14.25" customHeight="1">
      <c r="O819" s="2"/>
    </row>
    <row r="820" ht="14.25" customHeight="1">
      <c r="O820" s="2"/>
    </row>
    <row r="821" ht="14.25" customHeight="1">
      <c r="O821" s="2"/>
    </row>
    <row r="822" ht="14.25" customHeight="1">
      <c r="O822" s="2"/>
    </row>
    <row r="823" ht="14.25" customHeight="1">
      <c r="O823" s="2"/>
    </row>
    <row r="824" ht="14.25" customHeight="1">
      <c r="O824" s="2"/>
    </row>
    <row r="825" ht="14.25" customHeight="1">
      <c r="O825" s="2"/>
    </row>
    <row r="826" ht="14.25" customHeight="1">
      <c r="O826" s="2"/>
    </row>
    <row r="827" ht="14.25" customHeight="1">
      <c r="O827" s="2"/>
    </row>
    <row r="828" ht="14.25" customHeight="1">
      <c r="O828" s="2"/>
    </row>
    <row r="829" ht="14.25" customHeight="1">
      <c r="O829" s="2"/>
    </row>
    <row r="830" ht="14.25" customHeight="1">
      <c r="O830" s="2"/>
    </row>
    <row r="831" ht="14.25" customHeight="1">
      <c r="O831" s="2"/>
    </row>
    <row r="832" ht="14.25" customHeight="1">
      <c r="O832" s="2"/>
    </row>
    <row r="833" ht="14.25" customHeight="1">
      <c r="O833" s="2"/>
    </row>
    <row r="834" ht="14.25" customHeight="1">
      <c r="O834" s="2"/>
    </row>
    <row r="835" ht="14.25" customHeight="1">
      <c r="O835" s="2"/>
    </row>
    <row r="836" ht="14.25" customHeight="1">
      <c r="O836" s="2"/>
    </row>
    <row r="837" ht="14.25" customHeight="1">
      <c r="O837" s="2"/>
    </row>
    <row r="838" ht="14.25" customHeight="1">
      <c r="O838" s="2"/>
    </row>
    <row r="839" ht="14.25" customHeight="1">
      <c r="O839" s="2"/>
    </row>
    <row r="840" ht="14.25" customHeight="1">
      <c r="O840" s="2"/>
    </row>
    <row r="841" ht="14.25" customHeight="1">
      <c r="O841" s="2"/>
    </row>
    <row r="842" ht="14.25" customHeight="1">
      <c r="O842" s="2"/>
    </row>
    <row r="843" ht="14.25" customHeight="1">
      <c r="O843" s="2"/>
    </row>
    <row r="844" ht="14.25" customHeight="1">
      <c r="O844" s="2"/>
    </row>
    <row r="845" ht="14.25" customHeight="1">
      <c r="O845" s="2"/>
    </row>
    <row r="846" ht="14.25" customHeight="1">
      <c r="O846" s="2"/>
    </row>
    <row r="847" ht="14.25" customHeight="1">
      <c r="O847" s="2"/>
    </row>
    <row r="848" ht="14.25" customHeight="1">
      <c r="O848" s="2"/>
    </row>
    <row r="849" ht="14.25" customHeight="1">
      <c r="O849" s="2"/>
    </row>
    <row r="850" ht="14.25" customHeight="1">
      <c r="O850" s="2"/>
    </row>
    <row r="851" ht="14.25" customHeight="1">
      <c r="O851" s="2"/>
    </row>
    <row r="852" ht="14.25" customHeight="1">
      <c r="O852" s="2"/>
    </row>
    <row r="853" ht="14.25" customHeight="1">
      <c r="O853" s="2"/>
    </row>
    <row r="854" ht="14.25" customHeight="1">
      <c r="O854" s="2"/>
    </row>
    <row r="855" ht="14.25" customHeight="1">
      <c r="O855" s="2"/>
    </row>
    <row r="856" ht="14.25" customHeight="1">
      <c r="O856" s="2"/>
    </row>
    <row r="857" ht="14.25" customHeight="1">
      <c r="O857" s="2"/>
    </row>
    <row r="858" ht="14.25" customHeight="1">
      <c r="O858" s="2"/>
    </row>
    <row r="859" ht="14.25" customHeight="1">
      <c r="O859" s="2"/>
    </row>
    <row r="860" ht="14.25" customHeight="1">
      <c r="O860" s="2"/>
    </row>
    <row r="861" ht="14.25" customHeight="1">
      <c r="O861" s="2"/>
    </row>
    <row r="862" ht="14.25" customHeight="1">
      <c r="O862" s="2"/>
    </row>
    <row r="863" ht="14.25" customHeight="1">
      <c r="O863" s="2"/>
    </row>
    <row r="864" ht="14.25" customHeight="1">
      <c r="O864" s="2"/>
    </row>
    <row r="865" ht="14.25" customHeight="1">
      <c r="O865" s="2"/>
    </row>
    <row r="866" ht="14.25" customHeight="1">
      <c r="O866" s="2"/>
    </row>
    <row r="867" ht="14.25" customHeight="1">
      <c r="O867" s="2"/>
    </row>
    <row r="868" ht="14.25" customHeight="1">
      <c r="O868" s="2"/>
    </row>
    <row r="869" ht="14.25" customHeight="1">
      <c r="O869" s="2"/>
    </row>
    <row r="870" ht="14.25" customHeight="1">
      <c r="O870" s="2"/>
    </row>
    <row r="871" ht="14.25" customHeight="1">
      <c r="O871" s="2"/>
    </row>
    <row r="872" ht="14.25" customHeight="1">
      <c r="O872" s="2"/>
    </row>
    <row r="873" ht="14.25" customHeight="1">
      <c r="O873" s="2"/>
    </row>
    <row r="874" ht="14.25" customHeight="1">
      <c r="O874" s="2"/>
    </row>
    <row r="875" ht="14.25" customHeight="1">
      <c r="O875" s="2"/>
    </row>
    <row r="876" ht="14.25" customHeight="1">
      <c r="O876" s="2"/>
    </row>
    <row r="877" ht="14.25" customHeight="1">
      <c r="O877" s="2"/>
    </row>
    <row r="878" ht="14.25" customHeight="1">
      <c r="O878" s="2"/>
    </row>
    <row r="879" ht="14.25" customHeight="1">
      <c r="O879" s="2"/>
    </row>
    <row r="880" ht="14.25" customHeight="1">
      <c r="O880" s="2"/>
    </row>
    <row r="881" ht="14.25" customHeight="1">
      <c r="O881" s="2"/>
    </row>
    <row r="882" ht="14.25" customHeight="1">
      <c r="O882" s="2"/>
    </row>
    <row r="883" ht="14.25" customHeight="1">
      <c r="O883" s="2"/>
    </row>
    <row r="884" ht="14.25" customHeight="1">
      <c r="O884" s="2"/>
    </row>
    <row r="885" ht="14.25" customHeight="1">
      <c r="O885" s="2"/>
    </row>
    <row r="886" ht="14.25" customHeight="1">
      <c r="O886" s="2"/>
    </row>
    <row r="887" ht="14.25" customHeight="1">
      <c r="O887" s="2"/>
    </row>
    <row r="888" ht="14.25" customHeight="1">
      <c r="O888" s="2"/>
    </row>
    <row r="889" ht="14.25" customHeight="1">
      <c r="O889" s="2"/>
    </row>
    <row r="890" ht="14.25" customHeight="1">
      <c r="O890" s="2"/>
    </row>
    <row r="891" ht="14.25" customHeight="1">
      <c r="O891" s="2"/>
    </row>
    <row r="892" ht="14.25" customHeight="1">
      <c r="O892" s="2"/>
    </row>
    <row r="893" ht="14.25" customHeight="1">
      <c r="O893" s="2"/>
    </row>
    <row r="894" ht="14.25" customHeight="1">
      <c r="O894" s="2"/>
    </row>
    <row r="895" ht="14.25" customHeight="1">
      <c r="O895" s="2"/>
    </row>
    <row r="896" ht="14.25" customHeight="1">
      <c r="O896" s="2"/>
    </row>
    <row r="897" ht="14.25" customHeight="1">
      <c r="O897" s="2"/>
    </row>
    <row r="898" ht="14.25" customHeight="1">
      <c r="O898" s="2"/>
    </row>
    <row r="899" ht="14.25" customHeight="1">
      <c r="O899" s="2"/>
    </row>
    <row r="900" ht="14.25" customHeight="1">
      <c r="O900" s="2"/>
    </row>
    <row r="901" ht="14.25" customHeight="1">
      <c r="O901" s="2"/>
    </row>
    <row r="902" ht="14.25" customHeight="1">
      <c r="O902" s="2"/>
    </row>
    <row r="903" ht="14.25" customHeight="1">
      <c r="O903" s="2"/>
    </row>
    <row r="904" ht="14.25" customHeight="1">
      <c r="O904" s="2"/>
    </row>
    <row r="905" ht="14.25" customHeight="1">
      <c r="O905" s="2"/>
    </row>
    <row r="906" ht="14.25" customHeight="1">
      <c r="O906" s="2"/>
    </row>
    <row r="907" ht="14.25" customHeight="1">
      <c r="O907" s="2"/>
    </row>
    <row r="908" ht="14.25" customHeight="1">
      <c r="O908" s="2"/>
    </row>
    <row r="909" ht="14.25" customHeight="1">
      <c r="O909" s="2"/>
    </row>
    <row r="910" ht="14.25" customHeight="1">
      <c r="O910" s="2"/>
    </row>
    <row r="911" ht="14.25" customHeight="1">
      <c r="O911" s="2"/>
    </row>
    <row r="912" ht="14.25" customHeight="1">
      <c r="O912" s="2"/>
    </row>
    <row r="913" ht="14.25" customHeight="1">
      <c r="O913" s="2"/>
    </row>
    <row r="914" ht="14.25" customHeight="1">
      <c r="O914" s="2"/>
    </row>
    <row r="915" ht="14.25" customHeight="1">
      <c r="O915" s="2"/>
    </row>
    <row r="916" ht="14.25" customHeight="1">
      <c r="O916" s="2"/>
    </row>
    <row r="917" ht="14.25" customHeight="1">
      <c r="O917" s="2"/>
    </row>
    <row r="918" ht="14.25" customHeight="1">
      <c r="O918" s="2"/>
    </row>
    <row r="919" ht="14.25" customHeight="1">
      <c r="O919" s="2"/>
    </row>
    <row r="920" ht="14.25" customHeight="1">
      <c r="O920" s="2"/>
    </row>
    <row r="921" ht="14.25" customHeight="1">
      <c r="O921" s="2"/>
    </row>
    <row r="922" ht="14.25" customHeight="1">
      <c r="O922" s="2"/>
    </row>
    <row r="923" ht="14.25" customHeight="1">
      <c r="O923" s="2"/>
    </row>
    <row r="924" ht="14.25" customHeight="1">
      <c r="O924" s="2"/>
    </row>
    <row r="925" ht="14.25" customHeight="1">
      <c r="O925" s="2"/>
    </row>
    <row r="926" ht="14.25" customHeight="1">
      <c r="O926" s="2"/>
    </row>
    <row r="927" ht="14.25" customHeight="1">
      <c r="O927" s="2"/>
    </row>
    <row r="928" ht="14.25" customHeight="1">
      <c r="O928" s="2"/>
    </row>
    <row r="929" ht="14.25" customHeight="1">
      <c r="O929" s="2"/>
    </row>
    <row r="930" ht="14.25" customHeight="1">
      <c r="O930" s="2"/>
    </row>
    <row r="931" ht="14.25" customHeight="1">
      <c r="O931" s="2"/>
    </row>
    <row r="932" ht="14.25" customHeight="1">
      <c r="O932" s="2"/>
    </row>
    <row r="933" ht="14.25" customHeight="1">
      <c r="O933" s="2"/>
    </row>
    <row r="934" ht="14.25" customHeight="1">
      <c r="O934" s="2"/>
    </row>
    <row r="935" ht="14.25" customHeight="1">
      <c r="O935" s="2"/>
    </row>
    <row r="936" ht="14.25" customHeight="1">
      <c r="O936" s="2"/>
    </row>
    <row r="937" ht="14.25" customHeight="1">
      <c r="O937" s="2"/>
    </row>
    <row r="938" ht="14.25" customHeight="1">
      <c r="O938" s="2"/>
    </row>
    <row r="939" ht="14.25" customHeight="1">
      <c r="O939" s="2"/>
    </row>
    <row r="940" ht="14.25" customHeight="1">
      <c r="O940" s="2"/>
    </row>
    <row r="941" ht="14.25" customHeight="1">
      <c r="O941" s="2"/>
    </row>
    <row r="942" ht="14.25" customHeight="1">
      <c r="O942" s="2"/>
    </row>
    <row r="943" ht="14.25" customHeight="1">
      <c r="O943" s="2"/>
    </row>
    <row r="944" ht="14.25" customHeight="1">
      <c r="O944" s="2"/>
    </row>
    <row r="945" ht="14.25" customHeight="1">
      <c r="O945" s="2"/>
    </row>
    <row r="946" ht="14.25" customHeight="1">
      <c r="O946" s="2"/>
    </row>
    <row r="947" ht="14.25" customHeight="1">
      <c r="O947" s="2"/>
    </row>
    <row r="948" ht="14.25" customHeight="1">
      <c r="O948" s="2"/>
    </row>
    <row r="949" ht="14.25" customHeight="1">
      <c r="O949" s="2"/>
    </row>
    <row r="950" ht="14.25" customHeight="1">
      <c r="O950" s="2"/>
    </row>
    <row r="951" ht="14.25" customHeight="1">
      <c r="O951" s="2"/>
    </row>
    <row r="952" ht="14.25" customHeight="1">
      <c r="O952" s="2"/>
    </row>
    <row r="953" ht="14.25" customHeight="1">
      <c r="O953" s="2"/>
    </row>
    <row r="954" ht="14.25" customHeight="1">
      <c r="O954" s="2"/>
    </row>
    <row r="955" ht="14.25" customHeight="1">
      <c r="O955" s="2"/>
    </row>
    <row r="956" ht="14.25" customHeight="1">
      <c r="O956" s="2"/>
    </row>
    <row r="957" ht="14.25" customHeight="1">
      <c r="O957" s="2"/>
    </row>
    <row r="958" ht="14.25" customHeight="1">
      <c r="O958" s="2"/>
    </row>
    <row r="959" ht="14.25" customHeight="1">
      <c r="O959" s="2"/>
    </row>
    <row r="960" ht="14.25" customHeight="1">
      <c r="O960" s="2"/>
    </row>
    <row r="961" ht="14.25" customHeight="1">
      <c r="O961" s="2"/>
    </row>
    <row r="962" ht="14.25" customHeight="1">
      <c r="O962" s="2"/>
    </row>
    <row r="963" ht="14.25" customHeight="1">
      <c r="O963" s="2"/>
    </row>
    <row r="964" ht="14.25" customHeight="1">
      <c r="O964" s="2"/>
    </row>
    <row r="965" ht="14.25" customHeight="1">
      <c r="O965" s="2"/>
    </row>
    <row r="966" ht="14.25" customHeight="1">
      <c r="O966" s="2"/>
    </row>
    <row r="967" ht="14.25" customHeight="1">
      <c r="O967" s="2"/>
    </row>
    <row r="968" ht="14.25" customHeight="1">
      <c r="O968" s="2"/>
    </row>
    <row r="969" ht="14.25" customHeight="1">
      <c r="O969" s="2"/>
    </row>
    <row r="970" ht="14.25" customHeight="1">
      <c r="O970" s="2"/>
    </row>
    <row r="971" ht="14.25" customHeight="1">
      <c r="O971" s="2"/>
    </row>
    <row r="972" ht="14.25" customHeight="1">
      <c r="O972" s="2"/>
    </row>
    <row r="973" ht="14.25" customHeight="1">
      <c r="O973" s="2"/>
    </row>
    <row r="974" ht="14.25" customHeight="1">
      <c r="O974" s="2"/>
    </row>
    <row r="975" ht="14.25" customHeight="1">
      <c r="O975" s="2"/>
    </row>
    <row r="976" ht="14.25" customHeight="1">
      <c r="O976" s="2"/>
    </row>
    <row r="977" ht="14.25" customHeight="1">
      <c r="O977" s="2"/>
    </row>
    <row r="978" ht="14.25" customHeight="1">
      <c r="O978" s="2"/>
    </row>
    <row r="979" ht="14.25" customHeight="1">
      <c r="O979" s="2"/>
    </row>
    <row r="980" ht="14.25" customHeight="1">
      <c r="O980" s="2"/>
    </row>
    <row r="981" ht="14.25" customHeight="1">
      <c r="O981" s="2"/>
    </row>
    <row r="982" ht="14.25" customHeight="1">
      <c r="O982" s="2"/>
    </row>
    <row r="983" ht="14.25" customHeight="1">
      <c r="O983" s="2"/>
    </row>
    <row r="984" ht="14.25" customHeight="1">
      <c r="O984" s="2"/>
    </row>
    <row r="985" ht="14.25" customHeight="1">
      <c r="O985" s="2"/>
    </row>
    <row r="986" ht="14.25" customHeight="1">
      <c r="O986" s="2"/>
    </row>
    <row r="987" ht="14.25" customHeight="1">
      <c r="O987" s="2"/>
    </row>
    <row r="988" ht="14.25" customHeight="1">
      <c r="O988" s="2"/>
    </row>
    <row r="989" ht="14.25" customHeight="1">
      <c r="O989" s="2"/>
    </row>
    <row r="990" ht="14.25" customHeight="1">
      <c r="O990" s="2"/>
    </row>
    <row r="991" ht="14.25" customHeight="1">
      <c r="O991" s="2"/>
    </row>
    <row r="992" ht="14.25" customHeight="1">
      <c r="O992" s="2"/>
    </row>
    <row r="993" ht="14.25" customHeight="1">
      <c r="O993" s="2"/>
    </row>
    <row r="994" ht="14.25" customHeight="1">
      <c r="O994" s="2"/>
    </row>
    <row r="995" ht="14.25" customHeight="1">
      <c r="O995" s="2"/>
    </row>
    <row r="996" ht="14.25" customHeight="1">
      <c r="O996" s="2"/>
    </row>
    <row r="997" ht="14.25" customHeight="1">
      <c r="O997" s="2"/>
    </row>
    <row r="998" ht="14.25" customHeight="1">
      <c r="O998" s="2"/>
    </row>
    <row r="999" ht="14.25" customHeight="1">
      <c r="O999" s="2"/>
    </row>
    <row r="1000" ht="14.25" customHeight="1">
      <c r="O1000" s="2"/>
    </row>
  </sheetData>
  <mergeCells count="13">
    <mergeCell ref="C39:L39"/>
    <mergeCell ref="C50:L50"/>
    <mergeCell ref="C6:L6"/>
    <mergeCell ref="O7:V7"/>
    <mergeCell ref="O21:V21"/>
    <mergeCell ref="P16:V16"/>
    <mergeCell ref="A8:A15"/>
    <mergeCell ref="C17:L17"/>
    <mergeCell ref="A19:A26"/>
    <mergeCell ref="C28:L28"/>
    <mergeCell ref="A30:A37"/>
    <mergeCell ref="A41:A48"/>
    <mergeCell ref="A52:A59"/>
  </mergeCells>
  <conditionalFormatting sqref="C52:L5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2024-04-28T15:59:30Z</dcterms:created>
  <dc:creator>Benjamin Coelho Gaspar</dc:creator>
</cp:coreProperties>
</file>